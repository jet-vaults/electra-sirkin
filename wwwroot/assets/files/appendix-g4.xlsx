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arakm\AppData\Local\Microsoft\Windows\INetCache\Content.Outlook\8UKNI6DV\"/>
    </mc:Choice>
  </mc:AlternateContent>
  <xr:revisionPtr revIDLastSave="0" documentId="13_ncr:1_{4CB0E3B9-C8DF-4CAA-A75A-64173B3E6E12}" xr6:coauthVersionLast="47" xr6:coauthVersionMax="47" xr10:uidLastSave="{00000000-0000-0000-0000-000000000000}"/>
  <bookViews>
    <workbookView xWindow="-28920" yWindow="-15" windowWidth="29040" windowHeight="15720" xr2:uid="{C539A425-D814-4FBC-9CB8-21281FBAD360}"/>
  </bookViews>
  <sheets>
    <sheet name="ג4 מחיר מטרה" sheetId="1" r:id="rId1"/>
    <sheet name="יחס יח&quot;ד בבניניים" sheetId="2" r:id="rId2"/>
    <sheet name="הנחיות למילוי נספח ג4" sheetId="4" r:id="rId3"/>
  </sheets>
  <definedNames>
    <definedName name="_120_" localSheetId="2">#REF!</definedName>
    <definedName name="_120_">#REF!</definedName>
    <definedName name="_150_" localSheetId="2">#REF!</definedName>
    <definedName name="_150_">#REF!</definedName>
    <definedName name="_200_" localSheetId="2">#REF!</definedName>
    <definedName name="_200_">#REF!</definedName>
    <definedName name="_xlnm._FilterDatabase" localSheetId="0" hidden="1">'ג4 מחיר מטרה'!$A$10:$P$236</definedName>
    <definedName name="_Hlk87367373" localSheetId="2">'הנחיות למילוי נספח ג4'!$F$11</definedName>
    <definedName name="_Hlk88045932" localSheetId="2">'הנחיות למילוי נספח ג4'!$F$8</definedName>
    <definedName name="_Hlk88045951" localSheetId="2">'הנחיות למילוי נספח ג4'!$F$10</definedName>
    <definedName name="A" localSheetId="2">#REF!</definedName>
    <definedName name="A">#REF!</definedName>
    <definedName name="aa" localSheetId="2">#REF!</definedName>
    <definedName name="aa">#REF!</definedName>
    <definedName name="aaa" localSheetId="2">#REF!</definedName>
    <definedName name="aaa">#REF!</definedName>
    <definedName name="aaaa" localSheetId="2">#REF!</definedName>
    <definedName name="aaaa">#REF!</definedName>
    <definedName name="ad" localSheetId="2">#REF!</definedName>
    <definedName name="ad">#REF!</definedName>
    <definedName name="aq" localSheetId="2">#REF!</definedName>
    <definedName name="aq">#REF!</definedName>
    <definedName name="as" localSheetId="2">#REF!</definedName>
    <definedName name="as">#REF!</definedName>
    <definedName name="ass" localSheetId="2">#REF!</definedName>
    <definedName name="ass">#REF!</definedName>
    <definedName name="B" localSheetId="2">#REF!</definedName>
    <definedName name="B">#REF!</definedName>
    <definedName name="beton" localSheetId="2">#REF!</definedName>
    <definedName name="beton">#REF!</definedName>
    <definedName name="betoon" localSheetId="2">#REF!</definedName>
    <definedName name="betoon">#REF!</definedName>
    <definedName name="bnj" localSheetId="2">#REF!</definedName>
    <definedName name="bnj">#REF!</definedName>
    <definedName name="Bאסתטיות_אגרול" localSheetId="2">#REF!</definedName>
    <definedName name="Bאסתטיות_אגרול">#REF!</definedName>
    <definedName name="Bאסתטיות_מנה_עיקרית" localSheetId="2">#REF!</definedName>
    <definedName name="Bאסתטיות_מנה_עיקרית">#REF!</definedName>
    <definedName name="Bאסתטיות_שתייה" localSheetId="2">#REF!</definedName>
    <definedName name="Bאסתטיות_שתייה">#REF!</definedName>
    <definedName name="Bאסתטיות_תוספות" localSheetId="2">#REF!</definedName>
    <definedName name="Bאסתטיות_תוספות">#REF!</definedName>
    <definedName name="Bטמפ_אגרול" localSheetId="2">#REF!</definedName>
    <definedName name="Bטמפ_אגרול">#REF!</definedName>
    <definedName name="Bטמפ_מנה_עיקרית" localSheetId="2">#REF!</definedName>
    <definedName name="Bטמפ_מנה_עיקרית">#REF!</definedName>
    <definedName name="Bטמפ_שתייה" localSheetId="2">#REF!</definedName>
    <definedName name="Bטמפ_שתייה">#REF!</definedName>
    <definedName name="Bטמפ_תוספות" localSheetId="2">#REF!</definedName>
    <definedName name="Bטמפ_תוספות">#REF!</definedName>
    <definedName name="Bטעם_אגרול" localSheetId="2">#REF!</definedName>
    <definedName name="Bטעם_אגרול">#REF!</definedName>
    <definedName name="Bטעם_מנה_עיקרית" localSheetId="2">#REF!</definedName>
    <definedName name="Bטעם_מנה_עיקרית">#REF!</definedName>
    <definedName name="Bטעם_שתייה" localSheetId="2">#REF!</definedName>
    <definedName name="Bטעם_שתייה">#REF!</definedName>
    <definedName name="Bטעם_תוספות" localSheetId="2">#REF!</definedName>
    <definedName name="Bטעם_תוספות">#REF!</definedName>
    <definedName name="Bמוסיקה" localSheetId="2">#REF!</definedName>
    <definedName name="Bמוסיקה">#REF!</definedName>
    <definedName name="C99999999" localSheetId="2">#REF!</definedName>
    <definedName name="C99999999">#REF!</definedName>
    <definedName name="_xlnm.Database" localSheetId="2">#REF!</definedName>
    <definedName name="_xlnm.Database">#REF!</definedName>
    <definedName name="gg" localSheetId="2">#REF!</definedName>
    <definedName name="gg">#REF!</definedName>
    <definedName name="High_Floor" localSheetId="2">#REF!</definedName>
    <definedName name="High_Floor">#REF!</definedName>
    <definedName name="HPV" localSheetId="2">#REF!</definedName>
    <definedName name="HPV">#REF!</definedName>
    <definedName name="Mekadem_Koma" localSheetId="2">#REF!</definedName>
    <definedName name="Mekadem_Koma">#REF!</definedName>
    <definedName name="Mekadem_koma_307" localSheetId="2">#REF!</definedName>
    <definedName name="Mekadem_koma_307">#REF!</definedName>
    <definedName name="Mekadem_Koma_A" localSheetId="2">#REF!</definedName>
    <definedName name="Mekadem_Koma_A">#REF!</definedName>
    <definedName name="Mekadem_Koma_A_307" localSheetId="2">#REF!</definedName>
    <definedName name="Mekadem_Koma_A_307">#REF!</definedName>
    <definedName name="n_ncs" localSheetId="2">#REF!</definedName>
    <definedName name="n_ncs">#REF!</definedName>
    <definedName name="name_ncs" localSheetId="2">#REF!</definedName>
    <definedName name="name_ncs">#REF!</definedName>
    <definedName name="name_stch" localSheetId="2">#REF!</definedName>
    <definedName name="name_stch">#REF!</definedName>
    <definedName name="NAME_TIPUS" localSheetId="2">#REF!</definedName>
    <definedName name="NAME_TIPUS">#REF!</definedName>
    <definedName name="phhjj" localSheetId="2">#REF!,#REF!,#REF!,#REF!,#REF!</definedName>
    <definedName name="phhjj">#REF!,#REF!,#REF!,#REF!,#REF!</definedName>
    <definedName name="sd" localSheetId="2">#REF!</definedName>
    <definedName name="sd">#REF!</definedName>
    <definedName name="sdd" localSheetId="2">#REF!</definedName>
    <definedName name="sdd">#REF!</definedName>
    <definedName name="T_100" localSheetId="2">#REF!</definedName>
    <definedName name="T_100">#REF!</definedName>
    <definedName name="T_150" localSheetId="2">#REF!</definedName>
    <definedName name="T_150">#REF!</definedName>
    <definedName name="T_50" localSheetId="2">#REF!</definedName>
    <definedName name="T_50">#REF!</definedName>
    <definedName name="Tosefet_koma" localSheetId="2">#REF!</definedName>
    <definedName name="Tosefet_koma">#REF!</definedName>
    <definedName name="VAT" localSheetId="2">#REF!</definedName>
    <definedName name="VAT">#REF!</definedName>
    <definedName name="vb" localSheetId="2">#REF!</definedName>
    <definedName name="vb">#REF!</definedName>
    <definedName name="vv" localSheetId="2">#REF!</definedName>
    <definedName name="vv">#REF!</definedName>
    <definedName name="we" localSheetId="2">#REF!</definedName>
    <definedName name="we">#REF!</definedName>
    <definedName name="_xlnm.Print_Area" localSheetId="0">'ג4 מחיר מטרה'!$A$1:$BPS$247</definedName>
    <definedName name="xcc" localSheetId="2">#REF!</definedName>
    <definedName name="xcc">#REF!</definedName>
    <definedName name="Z" localSheetId="2">#REF!</definedName>
    <definedName name="Z">#REF!</definedName>
    <definedName name="ziun" localSheetId="2">#REF!</definedName>
    <definedName name="ziun">#REF!</definedName>
    <definedName name="א" localSheetId="2">#REF!</definedName>
    <definedName name="א">#REF!</definedName>
    <definedName name="אאאאאאא" localSheetId="2">#REF!,#REF!,#REF!,#REF!,#REF!</definedName>
    <definedName name="אאאאאאא">#REF!,#REF!,#REF!,#REF!,#REF!</definedName>
    <definedName name="אבטטיטות_מזון" localSheetId="2">#REF!</definedName>
    <definedName name="אבטטיטות_מזון">#REF!</definedName>
    <definedName name="אביזרי_מדידה" localSheetId="2">#REF!</definedName>
    <definedName name="אביזרי_מדידה">#REF!</definedName>
    <definedName name="אדיבות" localSheetId="2">#REF!</definedName>
    <definedName name="אדיבות">#REF!</definedName>
    <definedName name="אוירה_נעימה" localSheetId="2">#REF!</definedName>
    <definedName name="אוירה_נעימה">#REF!</definedName>
    <definedName name="אסטטיות_הסניף" localSheetId="2">#REF!</definedName>
    <definedName name="אסטטיות_הסניף">#REF!</definedName>
    <definedName name="אסטטיות_שתיה_חמה" localSheetId="2">#REF!</definedName>
    <definedName name="אסטטיות_שתיה_חמה">#REF!</definedName>
    <definedName name="אסטטיות_שתיה_קלה" localSheetId="2">#REF!</definedName>
    <definedName name="אסטטיות_שתיה_קלה">#REF!</definedName>
    <definedName name="אסתטיות_שילוט" localSheetId="2">#REF!</definedName>
    <definedName name="אסתטיות_שילוט">#REF!</definedName>
    <definedName name="בבבבבבב" localSheetId="2">#REF!</definedName>
    <definedName name="בבבבבבב">#REF!</definedName>
    <definedName name="בולטות_שילוט" localSheetId="2">#REF!</definedName>
    <definedName name="בולטות_שילוט">#REF!</definedName>
    <definedName name="בית_101" localSheetId="2">#REF!</definedName>
    <definedName name="בית_101">#REF!</definedName>
    <definedName name="בית_161" localSheetId="2">#REF!</definedName>
    <definedName name="בית_161">#REF!</definedName>
    <definedName name="בית_162" localSheetId="2">#REF!</definedName>
    <definedName name="בית_162">#REF!</definedName>
    <definedName name="בית_173" localSheetId="2">#REF!</definedName>
    <definedName name="בית_173">#REF!</definedName>
    <definedName name="בית_181" localSheetId="2">#REF!</definedName>
    <definedName name="בית_181">#REF!</definedName>
    <definedName name="בית_182" localSheetId="2">#REF!</definedName>
    <definedName name="בית_182">#REF!</definedName>
    <definedName name="בקיאות_בתפריט" localSheetId="2">#REF!</definedName>
    <definedName name="בקיאות_בתפריט">#REF!</definedName>
    <definedName name="ג" localSheetId="2">#REF!</definedName>
    <definedName name="ג">#REF!</definedName>
    <definedName name="ג2" localSheetId="2">#REF!</definedName>
    <definedName name="ג2">#REF!</definedName>
    <definedName name="גגגגג" localSheetId="2">#REF!</definedName>
    <definedName name="גגגגג">#REF!</definedName>
    <definedName name="גדכ" localSheetId="2">#REF!,#REF!,#REF!,#REF!,#REF!,#REF!,#REF!</definedName>
    <definedName name="גדכ">#REF!,#REF!,#REF!,#REF!,#REF!,#REF!,#REF!</definedName>
    <definedName name="גיליון" localSheetId="2">#REF!</definedName>
    <definedName name="גיליון">#REF!</definedName>
    <definedName name="גינות" localSheetId="0">#REF!</definedName>
    <definedName name="גישה_נוחה" localSheetId="2">#REF!</definedName>
    <definedName name="גישה_נוחה">#REF!</definedName>
    <definedName name="גליון" localSheetId="2">#REF!</definedName>
    <definedName name="גליון">#REF!</definedName>
    <definedName name="גרוע" localSheetId="2">#REF!</definedName>
    <definedName name="גרוע">#REF!</definedName>
    <definedName name="ד" localSheetId="2">#REF!</definedName>
    <definedName name="ד">#REF!</definedName>
    <definedName name="ד1" localSheetId="2">#REF!</definedName>
    <definedName name="ד1">#REF!</definedName>
    <definedName name="דד" localSheetId="2">#REF!</definedName>
    <definedName name="דד">#REF!</definedName>
    <definedName name="דדד" localSheetId="2">#REF!</definedName>
    <definedName name="דדד">#REF!</definedName>
    <definedName name="דדש" localSheetId="2">#REF!</definedName>
    <definedName name="דדש">#REF!</definedName>
    <definedName name="דש" localSheetId="2">#REF!</definedName>
    <definedName name="דש">#REF!</definedName>
    <definedName name="דש2" localSheetId="2">#REF!</definedName>
    <definedName name="דש2">#REF!</definedName>
    <definedName name="הבלטת_נוחות" localSheetId="2">#REF!</definedName>
    <definedName name="הבלטת_נוחות">#REF!</definedName>
    <definedName name="הגיש" localSheetId="2">#REF!</definedName>
    <definedName name="הגיש">#REF!</definedName>
    <definedName name="הה" localSheetId="2">#REF!</definedName>
    <definedName name="הה">#REF!</definedName>
    <definedName name="ההההההה" localSheetId="2">#REF!</definedName>
    <definedName name="ההההההה">#REF!</definedName>
    <definedName name="ההההההההההה" localSheetId="2">#REF!</definedName>
    <definedName name="ההההההההההה">#REF!</definedName>
    <definedName name="הופעה" localSheetId="2">#REF!</definedName>
    <definedName name="הופעה">#REF!</definedName>
    <definedName name="הופעת_עובדים" localSheetId="2">#REF!</definedName>
    <definedName name="הופעת_עובדים">#REF!</definedName>
    <definedName name="הושבה_בשולחן_נקי" localSheetId="2">#REF!</definedName>
    <definedName name="הושבה_בשולחן_נקי">#REF!</definedName>
    <definedName name="הנדסה" localSheetId="2">#REF!,#REF!</definedName>
    <definedName name="הנדסה">#REF!,#REF!</definedName>
    <definedName name="הנדסה1" localSheetId="2">#REF!,#REF!</definedName>
    <definedName name="הנדסה1">#REF!,#REF!</definedName>
    <definedName name="הנדסה2" localSheetId="2">#REF!,#REF!</definedName>
    <definedName name="הנדסה2">#REF!,#REF!</definedName>
    <definedName name="הסכמה_התנגדות_אחת" localSheetId="2">#REF!</definedName>
    <definedName name="הסכמה_התנגדות_אחת">#REF!</definedName>
    <definedName name="הסכמה_התנגדות_שתים" localSheetId="2">#REF!</definedName>
    <definedName name="הסכמה_התנגדות_שתים">#REF!</definedName>
    <definedName name="הע" localSheetId="2">#REF!</definedName>
    <definedName name="הע">#REF!</definedName>
    <definedName name="הצגת_מוצרים_מתאימים" localSheetId="2">#REF!</definedName>
    <definedName name="הצגת_מוצרים_מתאימים">#REF!</definedName>
    <definedName name="הצעת_מחיר" localSheetId="2">#REF!</definedName>
    <definedName name="הצעת_מחיר">#REF!</definedName>
    <definedName name="הצעת_מערכת_חלופית" localSheetId="2">#REF!</definedName>
    <definedName name="הצעת_מערכת_חלופית">#REF!</definedName>
    <definedName name="הצעת_שתיה" localSheetId="2">#REF!</definedName>
    <definedName name="הצעת_שתיה">#REF!</definedName>
    <definedName name="הקשבה_התנגדות_אחת" localSheetId="2">#REF!</definedName>
    <definedName name="הקשבה_התנגדות_אחת">#REF!</definedName>
    <definedName name="הקשבה_התנגדות_שתים" localSheetId="2">#REF!</definedName>
    <definedName name="הקשבה_התנגדות_שתים">#REF!</definedName>
    <definedName name="הרגשת_רצוי_כלקוח" localSheetId="2">#REF!</definedName>
    <definedName name="הרגשת_רצוי_כלקוח">#REF!</definedName>
    <definedName name="התענינות_המלצר" localSheetId="2">#REF!</definedName>
    <definedName name="התענינות_המלצר">#REF!</definedName>
    <definedName name="ו" localSheetId="2">#REF!</definedName>
    <definedName name="ו">#REF!</definedName>
    <definedName name="וחנח" localSheetId="2">#REF!,#REF!,#REF!,#REF!,#REF!</definedName>
    <definedName name="וחנח">#REF!,#REF!,#REF!,#REF!,#REF!</definedName>
    <definedName name="זזזזז" localSheetId="2">#REF!</definedName>
    <definedName name="זזזזז">#REF!</definedName>
    <definedName name="זמינות_המלצר" localSheetId="2">#REF!</definedName>
    <definedName name="זמינות_המלצר">#REF!</definedName>
    <definedName name="זמן_גישה" localSheetId="2">#REF!</definedName>
    <definedName name="זמן_גישה">#REF!</definedName>
    <definedName name="זמן_הגשה_מזון" localSheetId="2">#REF!</definedName>
    <definedName name="זמן_הגשה_מזון">#REF!</definedName>
    <definedName name="זמן_הגשה_שתיה_חמה" localSheetId="2">#REF!</definedName>
    <definedName name="זמן_הגשה_שתיה_חמה">#REF!</definedName>
    <definedName name="זמן_הגשה_שתיה_קלה" localSheetId="2">#REF!</definedName>
    <definedName name="זמן_הגשה_שתיה_קלה">#REF!</definedName>
    <definedName name="זמן_המתנה_לחשבון" localSheetId="2">#REF!</definedName>
    <definedName name="זמן_המתנה_לחשבון">#REF!</definedName>
    <definedName name="זמן_המתנה_לעודף" localSheetId="2">#REF!</definedName>
    <definedName name="זמן_המתנה_לעודף">#REF!</definedName>
    <definedName name="זמן_להזמנה" localSheetId="2">#REF!</definedName>
    <definedName name="זמן_להזמנה">#REF!</definedName>
    <definedName name="זמן_לתפריט" localSheetId="2">#REF!</definedName>
    <definedName name="זמן_לתפריט">#REF!</definedName>
    <definedName name="חוזר_לסניף" localSheetId="2">#REF!</definedName>
    <definedName name="חוזר_לסניף">#REF!</definedName>
    <definedName name="חומרים_משובחים" localSheetId="2">#REF!</definedName>
    <definedName name="חומרים_משובחים">#REF!</definedName>
    <definedName name="חחחחחח" localSheetId="2">#REF!</definedName>
    <definedName name="חחחחחח">#REF!</definedName>
    <definedName name="חחחינניי" localSheetId="2">#REF!</definedName>
    <definedName name="חחחינניי">#REF!</definedName>
    <definedName name="חחציטהחליה" localSheetId="2">#REF!,#REF!,#REF!,#REF!,#REF!</definedName>
    <definedName name="חחציטהחליה">#REF!,#REF!,#REF!,#REF!,#REF!</definedName>
    <definedName name="חינלוינצחמ" localSheetId="2">#REF!,#REF!,#REF!,#REF!,#REF!</definedName>
    <definedName name="חינלוינצחמ">#REF!,#REF!,#REF!,#REF!,#REF!</definedName>
    <definedName name="חלון" localSheetId="2">#REF!,#REF!,#REF!,#REF!,#REF!</definedName>
    <definedName name="חלון">#REF!,#REF!,#REF!,#REF!,#REF!</definedName>
    <definedName name="חניות_מחסנים_101_1" localSheetId="0">#REF!</definedName>
    <definedName name="חניות_מחסנים_101_1" localSheetId="2">#REF!</definedName>
    <definedName name="חניות_מחסנים_101_1" localSheetId="1">#REF!</definedName>
    <definedName name="חניות_מחסנים_101_1">#REF!</definedName>
    <definedName name="חניות_מחסנים_101_2" localSheetId="0">#REF!</definedName>
    <definedName name="חניות_מחסנים_101_2" localSheetId="2">#REF!</definedName>
    <definedName name="חניות_מחסנים_101_2" localSheetId="1">#REF!</definedName>
    <definedName name="חניות_מחסנים_101_2">#REF!</definedName>
    <definedName name="חריגים" localSheetId="2">#REF!</definedName>
    <definedName name="חריגים">#REF!</definedName>
    <definedName name="טיפוח_מלצר" localSheetId="2">#REF!</definedName>
    <definedName name="טיפוח_מלצר">#REF!</definedName>
    <definedName name="טיפוס_A" localSheetId="0">#REF!</definedName>
    <definedName name="טיפוס_A" localSheetId="2">#REF!</definedName>
    <definedName name="טיפוס_A" localSheetId="1">#REF!</definedName>
    <definedName name="טיפוס_A">#REF!</definedName>
    <definedName name="טיפוסי_דירות" localSheetId="0">#REF!</definedName>
    <definedName name="טמפרטורה_מזון" localSheetId="2">#REF!</definedName>
    <definedName name="טמפרטורה_מזון">#REF!</definedName>
    <definedName name="טמפרטורה_שתיה_חמה" localSheetId="2">#REF!</definedName>
    <definedName name="טמפרטורה_שתיה_חמה">#REF!</definedName>
    <definedName name="טמפרטורה_שתיה_קלה" localSheetId="2">#REF!</definedName>
    <definedName name="טמפרטורה_שתיה_קלה">#REF!</definedName>
    <definedName name="טעם_מזון" localSheetId="2">#REF!</definedName>
    <definedName name="טעם_מזון">#REF!</definedName>
    <definedName name="טעם_שתיה_חמה" localSheetId="2">#REF!</definedName>
    <definedName name="טעם_שתיה_חמה">#REF!</definedName>
    <definedName name="טריות_מזון" localSheetId="2">#REF!</definedName>
    <definedName name="טריות_מזון">#REF!</definedName>
    <definedName name="יגיש" localSheetId="2">#REF!</definedName>
    <definedName name="יגיש">#REF!</definedName>
    <definedName name="יד_חרוצים" localSheetId="2">#REF!</definedName>
    <definedName name="יד_חרוצים">#REF!</definedName>
    <definedName name="יחד" localSheetId="2">#REF!</definedName>
    <definedName name="יחד">#REF!</definedName>
    <definedName name="יחס_למתחרים" localSheetId="2">#REF!</definedName>
    <definedName name="יחס_למתחרים">#REF!</definedName>
    <definedName name="יחעחעהחנ" localSheetId="2">#REF!</definedName>
    <definedName name="יחעחעהחנ">#REF!</definedName>
    <definedName name="ייייייי" localSheetId="2">#REF!</definedName>
    <definedName name="ייייייי">#REF!</definedName>
    <definedName name="ינעחטעח" localSheetId="2">#REF!</definedName>
    <definedName name="ינעחטעח">#REF!</definedName>
    <definedName name="יפה" localSheetId="2">#REF!,#REF!,#REF!,#REF!,#REF!</definedName>
    <definedName name="יפה">#REF!,#REF!,#REF!,#REF!,#REF!</definedName>
    <definedName name="יצור_לפי_הלקוח" localSheetId="2">#REF!</definedName>
    <definedName name="יצור_לפי_הלקוח">#REF!</definedName>
    <definedName name="כליי_אוכל" localSheetId="2">#REF!</definedName>
    <definedName name="כליי_אוכל">#REF!</definedName>
    <definedName name="כלל_ברק" localSheetId="2">#REF!,#REF!,#REF!,#REF!,#REF!,#REF!,#REF!</definedName>
    <definedName name="כלל_ברק">#REF!,#REF!,#REF!,#REF!,#REF!,#REF!,#REF!</definedName>
    <definedName name="כלל_ברק1" localSheetId="2">#REF!,#REF!,#REF!,#REF!,#REF!,#REF!,#REF!</definedName>
    <definedName name="כלל_ברק1">#REF!,#REF!,#REF!,#REF!,#REF!,#REF!,#REF!</definedName>
    <definedName name="כלל_ברק2" localSheetId="2">#REF!,#REF!,#REF!,#REF!,#REF!,#REF!,#REF!</definedName>
    <definedName name="כלל_ברק2">#REF!,#REF!,#REF!,#REF!,#REF!,#REF!,#REF!</definedName>
    <definedName name="כמות_מזון" localSheetId="2">#REF!</definedName>
    <definedName name="כמות_מזון">#REF!</definedName>
    <definedName name="כן" localSheetId="2">#REF!</definedName>
    <definedName name="כן">#REF!</definedName>
    <definedName name="כסעסגעכר" localSheetId="2">#REF!,#REF!,#REF!,#REF!,#REF!</definedName>
    <definedName name="כסעסגעכר">#REF!,#REF!,#REF!,#REF!,#REF!</definedName>
    <definedName name="כרכ" localSheetId="2">#REF!</definedName>
    <definedName name="כרכ">#REF!</definedName>
    <definedName name="להתקשר" localSheetId="2">#REF!,#REF!,#REF!,#REF!,#REF!</definedName>
    <definedName name="להתקשר">#REF!,#REF!,#REF!,#REF!,#REF!</definedName>
    <definedName name="ליווי_באולם" localSheetId="2">#REF!</definedName>
    <definedName name="ליווי_באולם">#REF!</definedName>
    <definedName name="למילךן" localSheetId="2">#REF!</definedName>
    <definedName name="למילךן">#REF!</definedName>
    <definedName name="מאוחד" localSheetId="2">#REF!</definedName>
    <definedName name="מאוחד">#REF!</definedName>
    <definedName name="מאפרה_נקיה" localSheetId="2">#REF!</definedName>
    <definedName name="מאפרה_נקיה">#REF!</definedName>
    <definedName name="מבוטל" localSheetId="2">#REF!,#REF!,#REF!,#REF!,#REF!</definedName>
    <definedName name="מבוטל">#REF!,#REF!,#REF!,#REF!,#REF!</definedName>
    <definedName name="מדים" localSheetId="2">#REF!</definedName>
    <definedName name="מדים">#REF!</definedName>
    <definedName name="מוכרנות" localSheetId="2">#REF!</definedName>
    <definedName name="מוכרנות">#REF!</definedName>
    <definedName name="מוסיקת_רקע" localSheetId="2">#REF!</definedName>
    <definedName name="מוסיקת_רקע">#REF!</definedName>
    <definedName name="מחירון_101" localSheetId="2">#REF!</definedName>
    <definedName name="מחירון_101">#REF!</definedName>
    <definedName name="מחירון_161" localSheetId="2">#REF!</definedName>
    <definedName name="מחירון_161">#REF!</definedName>
    <definedName name="מחירון_173" localSheetId="2">#REF!</definedName>
    <definedName name="מחירון_173">#REF!</definedName>
    <definedName name="מחירים_שוים" localSheetId="2">#REF!</definedName>
    <definedName name="מחירים_שוים">#REF!</definedName>
    <definedName name="מיכ" localSheetId="2">#REF!</definedName>
    <definedName name="מיכ">#REF!</definedName>
    <definedName name="מכירת_מנה_אחרונה" localSheetId="2">#REF!</definedName>
    <definedName name="מכירת_מנה_אחרונה">#REF!</definedName>
    <definedName name="מלח_פלפל" localSheetId="2">#REF!</definedName>
    <definedName name="מלח_פלפל">#REF!</definedName>
    <definedName name="מס_חד_רגיל" localSheetId="2">#REF!</definedName>
    <definedName name="מס_חד_רגיל">#REF!</definedName>
    <definedName name="מעבר_לעמדת_מכירה" localSheetId="2">#REF!</definedName>
    <definedName name="מעבר_לעמדת_מכירה">#REF!</definedName>
    <definedName name="מעוניין" localSheetId="2">#REF!</definedName>
    <definedName name="מעוניין">#REF!</definedName>
    <definedName name="מערכות_מידע" localSheetId="2">#REF!,#REF!</definedName>
    <definedName name="מערכות_מידע">#REF!,#REF!</definedName>
    <definedName name="מערכות_מידע1" localSheetId="2">#REF!,#REF!</definedName>
    <definedName name="מערכות_מידע1">#REF!,#REF!</definedName>
    <definedName name="מערכות_מידע2" localSheetId="2">#REF!,#REF!</definedName>
    <definedName name="מערכות_מידע2">#REF!,#REF!</definedName>
    <definedName name="מעשנים" localSheetId="2">#REF!</definedName>
    <definedName name="מעשנים">#REF!</definedName>
    <definedName name="מקצועיות" localSheetId="2">#REF!</definedName>
    <definedName name="מקצועיות">#REF!</definedName>
    <definedName name="מקרר_עוגות" localSheetId="2">#REF!</definedName>
    <definedName name="מקרר_עוגות">#REF!</definedName>
    <definedName name="מרכז_מסחרי" localSheetId="2">#REF!</definedName>
    <definedName name="מרכז_מסחרי">#REF!</definedName>
    <definedName name="מרפסות_A" localSheetId="0">#REF!</definedName>
    <definedName name="מרפסות_A" localSheetId="2">#REF!</definedName>
    <definedName name="מרפסות_A" localSheetId="1">#REF!</definedName>
    <definedName name="מרפסות_A">#REF!</definedName>
    <definedName name="משאבי_אנוש" localSheetId="2">#REF!,#REF!</definedName>
    <definedName name="משאבי_אנוש">#REF!,#REF!</definedName>
    <definedName name="משאבי_אנוש1" localSheetId="2">#REF!,#REF!</definedName>
    <definedName name="משאבי_אנוש1">#REF!,#REF!</definedName>
    <definedName name="משאבי_אנוש2" localSheetId="2">#REF!,#REF!</definedName>
    <definedName name="משאבי_אנוש2">#REF!,#REF!</definedName>
    <definedName name="נייר_טואלט" localSheetId="2">#REF!</definedName>
    <definedName name="נייר_טואלט">#REF!</definedName>
    <definedName name="ניסיון_לסגירה" localSheetId="2">#REF!</definedName>
    <definedName name="ניסיון_לסגירה">#REF!</definedName>
    <definedName name="ניסיון13" localSheetId="2">#REF!</definedName>
    <definedName name="ניסיון13">#REF!</definedName>
    <definedName name="ניקיון_חלון" localSheetId="2">#REF!</definedName>
    <definedName name="ניקיון_חלון">#REF!</definedName>
    <definedName name="ניקיון_רצפה" localSheetId="2">#REF!</definedName>
    <definedName name="ניקיון_רצפה">#REF!</definedName>
    <definedName name="ניקיון_שולחן" localSheetId="2">#REF!</definedName>
    <definedName name="ניקיון_שולחן">#REF!</definedName>
    <definedName name="ניקיון_שירותים" localSheetId="2">#REF!</definedName>
    <definedName name="ניקיון_שירותים">#REF!</definedName>
    <definedName name="ניקיון_תצוגת_חנות" localSheetId="2">#REF!</definedName>
    <definedName name="ניקיון_תצוגת_חנות">#REF!</definedName>
    <definedName name="נלןחוילן" localSheetId="2">#REF!</definedName>
    <definedName name="נלןחוילן">#REF!</definedName>
    <definedName name="נממ" localSheetId="2">#REF!</definedName>
    <definedName name="נממ">#REF!</definedName>
    <definedName name="נקיון_אסלה" localSheetId="2">#REF!</definedName>
    <definedName name="נקיון_אסלה">#REF!</definedName>
    <definedName name="נקיון_חלון" localSheetId="2">#REF!</definedName>
    <definedName name="נקיון_חלון">#REF!</definedName>
    <definedName name="נקיון_כיור" localSheetId="2">#REF!</definedName>
    <definedName name="נקיון_כיור">#REF!</definedName>
    <definedName name="נקיון_מראה" localSheetId="2">#REF!</definedName>
    <definedName name="נקיון_מראה">#REF!</definedName>
    <definedName name="נקיון_רצפה" localSheetId="2">#REF!</definedName>
    <definedName name="נקיון_רצפה">#REF!</definedName>
    <definedName name="נקיון_רצפת_שרותים" localSheetId="2">#REF!</definedName>
    <definedName name="נקיון_רצפת_שרותים">#REF!</definedName>
    <definedName name="נקיון_תפריט" localSheetId="2">#REF!</definedName>
    <definedName name="נקיון_תפריט">#REF!</definedName>
    <definedName name="נשלח" localSheetId="2">#REF!</definedName>
    <definedName name="נשלח">#REF!</definedName>
    <definedName name="סבון" localSheetId="2">#REF!</definedName>
    <definedName name="סבון">#REF!</definedName>
    <definedName name="סה_כ_B1" localSheetId="2">#REF!</definedName>
    <definedName name="סה_כ_B1">#REF!</definedName>
    <definedName name="סוכר_סוכרזית" localSheetId="2">#REF!</definedName>
    <definedName name="סוכר_סוכרזית">#REF!</definedName>
    <definedName name="סיוון" localSheetId="2">#REF!,#REF!,#REF!,#REF!,#REF!</definedName>
    <definedName name="סיוון">#REF!,#REF!,#REF!,#REF!,#REF!</definedName>
    <definedName name="עוןעטלןויטלן" localSheetId="2">#REF!,#REF!,#REF!,#REF!,#REF!</definedName>
    <definedName name="עוןעטלןויטלן">#REF!,#REF!,#REF!,#REF!,#REF!</definedName>
    <definedName name="עזרה_בגיבוש_הזמנה" localSheetId="2">#REF!</definedName>
    <definedName name="עזרה_בגיבוש_הזמנה">#REF!</definedName>
    <definedName name="עזרי_שירותים" localSheetId="2">#REF!</definedName>
    <definedName name="עזרי_שירותים">#REF!</definedName>
    <definedName name="עיבכמינ" localSheetId="2">#REF!</definedName>
    <definedName name="עיבכמינ">#REF!</definedName>
    <definedName name="עירדוד_ב" localSheetId="2">#REF!</definedName>
    <definedName name="עירדוד_ב">#REF!</definedName>
    <definedName name="עירדוד_ד" localSheetId="2">#REF!</definedName>
    <definedName name="עירדוד_ד">#REF!</definedName>
    <definedName name="עמותות" localSheetId="2">#REF!,#REF!</definedName>
    <definedName name="עמותות">#REF!,#REF!</definedName>
    <definedName name="עעעע" localSheetId="2">#REF!</definedName>
    <definedName name="עעעע">#REF!</definedName>
    <definedName name="עעעעעי" localSheetId="2">#REF!</definedName>
    <definedName name="עעעעעי">#REF!</definedName>
    <definedName name="פינוי_כלים" localSheetId="2">#REF!</definedName>
    <definedName name="פינוי_כלים">#REF!</definedName>
    <definedName name="פקס" localSheetId="2">#REF!</definedName>
    <definedName name="פקס">#REF!</definedName>
    <definedName name="פרחים" localSheetId="2">#REF!</definedName>
    <definedName name="פרחים">#REF!</definedName>
    <definedName name="פרידה_מלצר" localSheetId="2">#REF!</definedName>
    <definedName name="פרידה_מלצר">#REF!</definedName>
    <definedName name="פריטים_נוספים" localSheetId="2">#REF!</definedName>
    <definedName name="פריטים_נוספים">#REF!</definedName>
    <definedName name="פתרון_התנגדות_אחת" localSheetId="2">#REF!</definedName>
    <definedName name="פתרון_התנגדות_אחת">#REF!</definedName>
    <definedName name="פתרוןהתנגדות_שתים" localSheetId="2">#REF!</definedName>
    <definedName name="פתרוןהתנגדות_שתים">#REF!</definedName>
    <definedName name="צהלה" localSheetId="2">#REF!</definedName>
    <definedName name="צהלה">#REF!</definedName>
    <definedName name="ציינה_טאון" localSheetId="2">#REF!</definedName>
    <definedName name="ציינה_טאון">#REF!</definedName>
    <definedName name="צצ" localSheetId="2">#REF!</definedName>
    <definedName name="צצ">#REF!</definedName>
    <definedName name="ק" localSheetId="2">#REF!</definedName>
    <definedName name="ק">#REF!</definedName>
    <definedName name="ק.ס_מתחם3" localSheetId="2">#REF!</definedName>
    <definedName name="ק.ס_מתחם3">#REF!</definedName>
    <definedName name="קבלה_בכניסה" localSheetId="2">#REF!</definedName>
    <definedName name="קבלה_בכניסה">#REF!</definedName>
    <definedName name="קרמיקה" localSheetId="2">#REF!,#REF!,#REF!,#REF!,#REF!</definedName>
    <definedName name="קרמיקה">#REF!,#REF!,#REF!,#REF!,#REF!</definedName>
    <definedName name="קשר_בצורה_נכונה" localSheetId="2">#REF!</definedName>
    <definedName name="קשר_בצורה_נכונה">#REF!</definedName>
    <definedName name="קשר_עין" localSheetId="2">#REF!</definedName>
    <definedName name="קשר_עין">#REF!</definedName>
    <definedName name="ר" localSheetId="2">#REF!</definedName>
    <definedName name="ר">#REF!</definedName>
    <definedName name="ראשון" localSheetId="2">#REF!</definedName>
    <definedName name="ראשון">#REF!</definedName>
    <definedName name="רהוט_תקין" localSheetId="2">#REF!</definedName>
    <definedName name="רהוט_תקין">#REF!</definedName>
    <definedName name="רוטב" localSheetId="2">#REF!</definedName>
    <definedName name="רוטב">#REF!</definedName>
    <definedName name="רחבת_כניסה" localSheetId="2">#REF!</definedName>
    <definedName name="רחבת_כניסה">#REF!</definedName>
    <definedName name="רחובות" localSheetId="2">#REF!</definedName>
    <definedName name="רחובות">#REF!</definedName>
    <definedName name="ריח_לא_נעים" localSheetId="2">#REF!</definedName>
    <definedName name="ריח_לא_נעים">#REF!</definedName>
    <definedName name="רעאכיט" localSheetId="2">#REF!,#REF!,#REF!,#REF!,#REF!</definedName>
    <definedName name="רעאכיט">#REF!,#REF!,#REF!,#REF!,#REF!</definedName>
    <definedName name="רעננה" localSheetId="2">#REF!</definedName>
    <definedName name="רעננה">#REF!</definedName>
    <definedName name="ש" localSheetId="2">#REF!</definedName>
    <definedName name="ש">#REF!</definedName>
    <definedName name="ש5" localSheetId="2">#REF!</definedName>
    <definedName name="ש5">#REF!</definedName>
    <definedName name="שאלת_שאלות" localSheetId="2">#REF!</definedName>
    <definedName name="שאלת_שאלות">#REF!</definedName>
    <definedName name="שגכ" localSheetId="2">#REF!</definedName>
    <definedName name="שגכ">#REF!</definedName>
    <definedName name="שד" localSheetId="2">#REF!</definedName>
    <definedName name="שד">#REF!</definedName>
    <definedName name="שיווק_ומכירות" localSheetId="2">#REF!,#REF!</definedName>
    <definedName name="שיווק_ומכירות">#REF!,#REF!</definedName>
    <definedName name="שיווק_ומכירות1" localSheetId="2">#REF!,#REF!</definedName>
    <definedName name="שיווק_ומכירות1">#REF!,#REF!</definedName>
    <definedName name="שיווק_ומכירות2" localSheetId="2">#REF!,#REF!</definedName>
    <definedName name="שיווק_ומכירות2">#REF!,#REF!</definedName>
    <definedName name="שילוט_חיצוני" localSheetId="2">#REF!</definedName>
    <definedName name="שילוט_חיצוני">#REF!</definedName>
    <definedName name="שירות_לקוחות" localSheetId="2">#REF!,#REF!</definedName>
    <definedName name="שירות_לקוחות">#REF!,#REF!</definedName>
    <definedName name="שירות_לקוחות1" localSheetId="2">#REF!,#REF!</definedName>
    <definedName name="שירות_לקוחות1">#REF!,#REF!</definedName>
    <definedName name="שירות_לקוחות2" localSheetId="2">#REF!,#REF!</definedName>
    <definedName name="שירות_לקוחות2">#REF!,#REF!</definedName>
    <definedName name="שלטי_מחיר_אסתטיות" localSheetId="2">#REF!</definedName>
    <definedName name="שלטי_מחיר_אסתטיות">#REF!</definedName>
    <definedName name="שלטי_מחיר_קיימים" localSheetId="2">#REF!</definedName>
    <definedName name="שלטי_מחיר_קיימים">#REF!</definedName>
    <definedName name="שם_הסניף" localSheetId="2">#REF!</definedName>
    <definedName name="שם_הסניף">#REF!</definedName>
    <definedName name="שפה_פשוטה" localSheetId="2">#REF!</definedName>
    <definedName name="שפה_פשוטה">#REF!</definedName>
    <definedName name="שש" localSheetId="2">#REF!</definedName>
    <definedName name="שש">#REF!</definedName>
    <definedName name="שש3" localSheetId="2">#REF!</definedName>
    <definedName name="שש3">#REF!</definedName>
    <definedName name="שש4" localSheetId="2">#REF!</definedName>
    <definedName name="שש4">#REF!</definedName>
    <definedName name="שש5" localSheetId="2">#REF!</definedName>
    <definedName name="שש5">#REF!</definedName>
    <definedName name="ששש" localSheetId="2">#REF!</definedName>
    <definedName name="ששש">#REF!</definedName>
    <definedName name="ששש1" localSheetId="2">#REF!</definedName>
    <definedName name="ששש1">#REF!</definedName>
    <definedName name="ששש2" localSheetId="2">#REF!</definedName>
    <definedName name="ששש2">#REF!</definedName>
    <definedName name="ששש5" localSheetId="2">#REF!</definedName>
    <definedName name="ששש5">#REF!</definedName>
    <definedName name="תאורה" localSheetId="2">#REF!</definedName>
    <definedName name="תאורה">#REF!</definedName>
    <definedName name="תג_שמי" localSheetId="2">#REF!</definedName>
    <definedName name="תג_שמי">#REF!</definedName>
    <definedName name="תומחר" localSheetId="2">#REF!</definedName>
    <definedName name="תומחר">#REF!</definedName>
    <definedName name="תחום" localSheetId="2">#REF!</definedName>
    <definedName name="תחום">#REF!</definedName>
    <definedName name="תימחור" localSheetId="2">#REF!</definedName>
    <definedName name="תימחור">#REF!</definedName>
    <definedName name="תפעול" localSheetId="2">#REF!,#REF!</definedName>
    <definedName name="תפעול">#REF!,#REF!</definedName>
    <definedName name="תפעול1" localSheetId="2">#REF!,#REF!</definedName>
    <definedName name="תפעול1">#REF!,#REF!</definedName>
    <definedName name="תפעול2" localSheetId="2">#REF!,#REF!</definedName>
    <definedName name="תפעול2">#REF!,#REF!</definedName>
    <definedName name="תצוגת_חלון" localSheetId="2">#REF!</definedName>
    <definedName name="תצוגת_חלון">#REF!</definedName>
    <definedName name="תצוגת_חנות" localSheetId="2">#REF!</definedName>
    <definedName name="תצוגת_חנות">#REF!</definedName>
    <definedName name="תקינות_מתקני_שרותים" localSheetId="2">#REF!</definedName>
    <definedName name="תקינות_מתקני_שרותים">#REF!</definedName>
    <definedName name="תקינות_שירותים" localSheetId="2">#REF!</definedName>
    <definedName name="תקינות_שירותים">#REF!</definedName>
    <definedName name="תתתתתתת" localSheetId="2">#REF!,#REF!,#REF!,#REF!,#REF!</definedName>
    <definedName name="תתתתתתת">#REF!,#REF!,#REF!,#REF!,#REF!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10" i="1" l="1"/>
  <c r="M110" i="1" s="1"/>
  <c r="N110" i="1" s="1"/>
  <c r="K109" i="1"/>
  <c r="M109" i="1" s="1"/>
  <c r="N109" i="1" s="1"/>
  <c r="K34" i="1"/>
  <c r="M34" i="1" s="1"/>
  <c r="N34" i="1" s="1"/>
  <c r="H139" i="1"/>
  <c r="H136" i="1"/>
  <c r="H135" i="1"/>
  <c r="H95" i="1"/>
  <c r="H94" i="1"/>
  <c r="H53" i="1"/>
  <c r="H52" i="1"/>
  <c r="K44" i="1"/>
  <c r="M44" i="1" s="1"/>
  <c r="N44" i="1" s="1"/>
  <c r="H11" i="1"/>
  <c r="V7" i="1"/>
  <c r="V6" i="1"/>
  <c r="V5" i="1"/>
  <c r="V4" i="1"/>
  <c r="O4" i="1"/>
  <c r="V3" i="1"/>
  <c r="V2" i="1"/>
  <c r="K114" i="1" l="1"/>
  <c r="M114" i="1" s="1"/>
  <c r="N114" i="1" s="1"/>
  <c r="K151" i="1"/>
  <c r="M151" i="1" s="1"/>
  <c r="N151" i="1" s="1"/>
  <c r="K153" i="1"/>
  <c r="M153" i="1" s="1"/>
  <c r="N153" i="1" s="1"/>
  <c r="M218" i="1"/>
  <c r="R218" i="1" s="1"/>
  <c r="M50" i="1"/>
  <c r="N50" i="1" s="1"/>
  <c r="K115" i="1"/>
  <c r="M115" i="1" s="1"/>
  <c r="N115" i="1" s="1"/>
  <c r="K156" i="1"/>
  <c r="M156" i="1" s="1"/>
  <c r="N156" i="1" s="1"/>
  <c r="M232" i="1"/>
  <c r="R232" i="1" s="1"/>
  <c r="K119" i="1"/>
  <c r="M119" i="1" s="1"/>
  <c r="N119" i="1" s="1"/>
  <c r="K159" i="1"/>
  <c r="M159" i="1" s="1"/>
  <c r="N159" i="1" s="1"/>
  <c r="K38" i="1"/>
  <c r="M38" i="1" s="1"/>
  <c r="N38" i="1" s="1"/>
  <c r="K122" i="1"/>
  <c r="M122" i="1" s="1"/>
  <c r="N122" i="1" s="1"/>
  <c r="K172" i="1"/>
  <c r="M172" i="1" s="1"/>
  <c r="N172" i="1" s="1"/>
  <c r="K43" i="1"/>
  <c r="M43" i="1" s="1"/>
  <c r="N43" i="1" s="1"/>
  <c r="K63" i="1"/>
  <c r="M63" i="1" s="1"/>
  <c r="N63" i="1" s="1"/>
  <c r="M125" i="1"/>
  <c r="N125" i="1" s="1"/>
  <c r="K174" i="1"/>
  <c r="M174" i="1" s="1"/>
  <c r="N174" i="1" s="1"/>
  <c r="K59" i="1"/>
  <c r="M59" i="1" s="1"/>
  <c r="N59" i="1" s="1"/>
  <c r="K69" i="1"/>
  <c r="M69" i="1" s="1"/>
  <c r="N69" i="1" s="1"/>
  <c r="M130" i="1"/>
  <c r="N130" i="1" s="1"/>
  <c r="K178" i="1"/>
  <c r="M178" i="1" s="1"/>
  <c r="R178" i="1" s="1"/>
  <c r="K66" i="1"/>
  <c r="M66" i="1" s="1"/>
  <c r="N66" i="1" s="1"/>
  <c r="K79" i="1"/>
  <c r="M79" i="1" s="1"/>
  <c r="N79" i="1" s="1"/>
  <c r="K180" i="1"/>
  <c r="M180" i="1" s="1"/>
  <c r="N180" i="1" s="1"/>
  <c r="K73" i="1"/>
  <c r="M73" i="1" s="1"/>
  <c r="N73" i="1" s="1"/>
  <c r="K15" i="1"/>
  <c r="M15" i="1" s="1"/>
  <c r="N15" i="1" s="1"/>
  <c r="K85" i="1"/>
  <c r="M85" i="1" s="1"/>
  <c r="N85" i="1" s="1"/>
  <c r="K190" i="1"/>
  <c r="M190" i="1" s="1"/>
  <c r="R190" i="1" s="1"/>
  <c r="K76" i="1"/>
  <c r="M76" i="1" s="1"/>
  <c r="N76" i="1" s="1"/>
  <c r="K16" i="1"/>
  <c r="M16" i="1" s="1"/>
  <c r="N16" i="1" s="1"/>
  <c r="K138" i="1"/>
  <c r="M138" i="1" s="1"/>
  <c r="N138" i="1" s="1"/>
  <c r="K191" i="1"/>
  <c r="M191" i="1" s="1"/>
  <c r="N191" i="1" s="1"/>
  <c r="K102" i="1"/>
  <c r="M102" i="1" s="1"/>
  <c r="N102" i="1" s="1"/>
  <c r="K192" i="1"/>
  <c r="M192" i="1" s="1"/>
  <c r="N192" i="1" s="1"/>
  <c r="K142" i="1"/>
  <c r="M142" i="1" s="1"/>
  <c r="N142" i="1" s="1"/>
  <c r="K24" i="1"/>
  <c r="M24" i="1" s="1"/>
  <c r="N24" i="1" s="1"/>
  <c r="K100" i="1"/>
  <c r="M100" i="1" s="1"/>
  <c r="N100" i="1" s="1"/>
  <c r="K140" i="1"/>
  <c r="M140" i="1" s="1"/>
  <c r="N140" i="1" s="1"/>
  <c r="K195" i="1"/>
  <c r="M195" i="1" s="1"/>
  <c r="N195" i="1" s="1"/>
  <c r="K206" i="1"/>
  <c r="M206" i="1" s="1"/>
  <c r="K27" i="1"/>
  <c r="M27" i="1" s="1"/>
  <c r="N27" i="1" s="1"/>
  <c r="K101" i="1"/>
  <c r="M101" i="1" s="1"/>
  <c r="N101" i="1" s="1"/>
  <c r="K145" i="1"/>
  <c r="M145" i="1" s="1"/>
  <c r="N145" i="1" s="1"/>
  <c r="K199" i="1"/>
  <c r="K30" i="1"/>
  <c r="M30" i="1" s="1"/>
  <c r="N30" i="1" s="1"/>
  <c r="K107" i="1"/>
  <c r="M107" i="1" s="1"/>
  <c r="N107" i="1" s="1"/>
  <c r="K146" i="1"/>
  <c r="M146" i="1" s="1"/>
  <c r="N146" i="1" s="1"/>
  <c r="K204" i="1"/>
  <c r="M204" i="1" s="1"/>
  <c r="R204" i="1" s="1"/>
  <c r="M49" i="1"/>
  <c r="N49" i="1" s="1"/>
  <c r="M52" i="1"/>
  <c r="N52" i="1" s="1"/>
  <c r="K81" i="1"/>
  <c r="M81" i="1" s="1"/>
  <c r="N81" i="1" s="1"/>
  <c r="M226" i="1"/>
  <c r="K129" i="1"/>
  <c r="M129" i="1" s="1"/>
  <c r="N129" i="1" s="1"/>
  <c r="K198" i="1"/>
  <c r="K161" i="1"/>
  <c r="M161" i="1" s="1"/>
  <c r="K77" i="1"/>
  <c r="M77" i="1" s="1"/>
  <c r="N77" i="1" s="1"/>
  <c r="V8" i="1"/>
  <c r="Z2" i="1" s="1"/>
  <c r="Z3" i="1" s="1"/>
  <c r="K181" i="1"/>
  <c r="M181" i="1" s="1"/>
  <c r="K200" i="1"/>
  <c r="M200" i="1" s="1"/>
  <c r="K179" i="1"/>
  <c r="M179" i="1" s="1"/>
  <c r="K124" i="1"/>
  <c r="M124" i="1" s="1"/>
  <c r="N124" i="1" s="1"/>
  <c r="K65" i="1"/>
  <c r="M65" i="1" s="1"/>
  <c r="N65" i="1" s="1"/>
  <c r="M227" i="1"/>
  <c r="K186" i="1"/>
  <c r="M186" i="1" s="1"/>
  <c r="M92" i="1"/>
  <c r="N92" i="1" s="1"/>
  <c r="K61" i="1"/>
  <c r="M61" i="1" s="1"/>
  <c r="N61" i="1" s="1"/>
  <c r="K173" i="1"/>
  <c r="M173" i="1" s="1"/>
  <c r="K201" i="1"/>
  <c r="M201" i="1" s="1"/>
  <c r="K120" i="1"/>
  <c r="M120" i="1" s="1"/>
  <c r="N120" i="1" s="1"/>
  <c r="M95" i="1"/>
  <c r="N95" i="1" s="1"/>
  <c r="M219" i="1"/>
  <c r="K158" i="1"/>
  <c r="M158" i="1" s="1"/>
  <c r="K136" i="1"/>
  <c r="M136" i="1" s="1"/>
  <c r="M91" i="1"/>
  <c r="N91" i="1" s="1"/>
  <c r="K68" i="1"/>
  <c r="M68" i="1" s="1"/>
  <c r="N68" i="1" s="1"/>
  <c r="K64" i="1"/>
  <c r="M64" i="1" s="1"/>
  <c r="N64" i="1" s="1"/>
  <c r="K56" i="1"/>
  <c r="M56" i="1" s="1"/>
  <c r="N56" i="1" s="1"/>
  <c r="K18" i="1"/>
  <c r="M18" i="1" s="1"/>
  <c r="N18" i="1" s="1"/>
  <c r="M222" i="1"/>
  <c r="K149" i="1"/>
  <c r="M149" i="1" s="1"/>
  <c r="K23" i="1"/>
  <c r="M23" i="1" s="1"/>
  <c r="N23" i="1" s="1"/>
  <c r="K28" i="1"/>
  <c r="M28" i="1" s="1"/>
  <c r="N28" i="1" s="1"/>
  <c r="M53" i="1"/>
  <c r="N53" i="1" s="1"/>
  <c r="K82" i="1"/>
  <c r="M82" i="1" s="1"/>
  <c r="N82" i="1" s="1"/>
  <c r="K144" i="1"/>
  <c r="M144" i="1" s="1"/>
  <c r="K165" i="1"/>
  <c r="M165" i="1" s="1"/>
  <c r="K19" i="1"/>
  <c r="M19" i="1" s="1"/>
  <c r="N19" i="1" s="1"/>
  <c r="K25" i="1"/>
  <c r="M25" i="1" s="1"/>
  <c r="N25" i="1" s="1"/>
  <c r="K35" i="1"/>
  <c r="M35" i="1" s="1"/>
  <c r="N35" i="1" s="1"/>
  <c r="K55" i="1"/>
  <c r="M55" i="1" s="1"/>
  <c r="N55" i="1" s="1"/>
  <c r="K29" i="1"/>
  <c r="M29" i="1" s="1"/>
  <c r="N29" i="1" s="1"/>
  <c r="K135" i="1"/>
  <c r="M135" i="1" s="1"/>
  <c r="K171" i="1"/>
  <c r="M171" i="1" s="1"/>
  <c r="M94" i="1"/>
  <c r="N94" i="1" s="1"/>
  <c r="K117" i="1"/>
  <c r="M117" i="1" s="1"/>
  <c r="N117" i="1" s="1"/>
  <c r="K22" i="1"/>
  <c r="M22" i="1" s="1"/>
  <c r="N22" i="1" s="1"/>
  <c r="K41" i="1"/>
  <c r="M41" i="1" s="1"/>
  <c r="N41" i="1" s="1"/>
  <c r="K84" i="1"/>
  <c r="M84" i="1" s="1"/>
  <c r="N84" i="1" s="1"/>
  <c r="K106" i="1"/>
  <c r="M106" i="1" s="1"/>
  <c r="N106" i="1" s="1"/>
  <c r="M123" i="1"/>
  <c r="N123" i="1" s="1"/>
  <c r="K166" i="1"/>
  <c r="M166" i="1" s="1"/>
  <c r="K183" i="1"/>
  <c r="M183" i="1" s="1"/>
  <c r="K40" i="1"/>
  <c r="M40" i="1" s="1"/>
  <c r="N40" i="1" s="1"/>
  <c r="K72" i="1"/>
  <c r="M72" i="1" s="1"/>
  <c r="N72" i="1" s="1"/>
  <c r="K96" i="1"/>
  <c r="M96" i="1" s="1"/>
  <c r="N96" i="1" s="1"/>
  <c r="K177" i="1"/>
  <c r="M177" i="1" s="1"/>
  <c r="K205" i="1"/>
  <c r="M205" i="1" s="1"/>
  <c r="M231" i="1"/>
  <c r="K98" i="1"/>
  <c r="M98" i="1" s="1"/>
  <c r="N98" i="1" s="1"/>
  <c r="K188" i="1"/>
  <c r="M188" i="1" s="1"/>
  <c r="K213" i="1"/>
  <c r="M213" i="1" s="1"/>
  <c r="K58" i="1"/>
  <c r="M58" i="1" s="1"/>
  <c r="N58" i="1" s="1"/>
  <c r="M90" i="1"/>
  <c r="N90" i="1" s="1"/>
  <c r="K147" i="1"/>
  <c r="M147" i="1" s="1"/>
  <c r="K87" i="1"/>
  <c r="M87" i="1" s="1"/>
  <c r="N87" i="1" s="1"/>
  <c r="K127" i="1"/>
  <c r="M127" i="1" s="1"/>
  <c r="N127" i="1" s="1"/>
  <c r="K139" i="1"/>
  <c r="M139" i="1" s="1"/>
  <c r="K21" i="1"/>
  <c r="M21" i="1" s="1"/>
  <c r="N21" i="1" s="1"/>
  <c r="K32" i="1"/>
  <c r="M32" i="1" s="1"/>
  <c r="N32" i="1" s="1"/>
  <c r="K54" i="1"/>
  <c r="M54" i="1" s="1"/>
  <c r="N54" i="1" s="1"/>
  <c r="M48" i="1"/>
  <c r="N48" i="1" s="1"/>
  <c r="K169" i="1"/>
  <c r="M169" i="1" s="1"/>
  <c r="M234" i="1"/>
  <c r="K46" i="1"/>
  <c r="M46" i="1" s="1"/>
  <c r="N46" i="1" s="1"/>
  <c r="K60" i="1"/>
  <c r="M60" i="1" s="1"/>
  <c r="N60" i="1" s="1"/>
  <c r="K67" i="1"/>
  <c r="M67" i="1" s="1"/>
  <c r="N67" i="1" s="1"/>
  <c r="K116" i="1"/>
  <c r="M116" i="1" s="1"/>
  <c r="N116" i="1" s="1"/>
  <c r="K20" i="1"/>
  <c r="M20" i="1" s="1"/>
  <c r="N20" i="1" s="1"/>
  <c r="K162" i="1"/>
  <c r="M162" i="1" s="1"/>
  <c r="K26" i="1"/>
  <c r="M26" i="1" s="1"/>
  <c r="N26" i="1" s="1"/>
  <c r="K36" i="1"/>
  <c r="M36" i="1" s="1"/>
  <c r="N36" i="1" s="1"/>
  <c r="K45" i="1"/>
  <c r="M45" i="1" s="1"/>
  <c r="N45" i="1" s="1"/>
  <c r="K203" i="1"/>
  <c r="M203" i="1" s="1"/>
  <c r="M211" i="1"/>
  <c r="M220" i="1"/>
  <c r="M225" i="1"/>
  <c r="M89" i="1"/>
  <c r="N89" i="1" s="1"/>
  <c r="K118" i="1"/>
  <c r="M118" i="1" s="1"/>
  <c r="N118" i="1" s="1"/>
  <c r="K105" i="1"/>
  <c r="M105" i="1" s="1"/>
  <c r="N105" i="1" s="1"/>
  <c r="M47" i="1"/>
  <c r="N47" i="1" s="1"/>
  <c r="M208" i="1"/>
  <c r="K111" i="1"/>
  <c r="M111" i="1" s="1"/>
  <c r="N111" i="1" s="1"/>
  <c r="K137" i="1"/>
  <c r="M137" i="1" s="1"/>
  <c r="K14" i="1"/>
  <c r="M14" i="1" s="1"/>
  <c r="N14" i="1" s="1"/>
  <c r="K31" i="1"/>
  <c r="M31" i="1" s="1"/>
  <c r="N31" i="1" s="1"/>
  <c r="K37" i="1"/>
  <c r="M37" i="1" s="1"/>
  <c r="N37" i="1" s="1"/>
  <c r="K185" i="1"/>
  <c r="M185" i="1" s="1"/>
  <c r="K74" i="1"/>
  <c r="M74" i="1" s="1"/>
  <c r="N74" i="1" s="1"/>
  <c r="K152" i="1"/>
  <c r="M152" i="1" s="1"/>
  <c r="K157" i="1"/>
  <c r="M157" i="1" s="1"/>
  <c r="K160" i="1"/>
  <c r="M160" i="1" s="1"/>
  <c r="K97" i="1"/>
  <c r="M97" i="1" s="1"/>
  <c r="N97" i="1" s="1"/>
  <c r="K39" i="1"/>
  <c r="M39" i="1" s="1"/>
  <c r="N39" i="1" s="1"/>
  <c r="K86" i="1"/>
  <c r="M86" i="1" s="1"/>
  <c r="N86" i="1" s="1"/>
  <c r="K112" i="1"/>
  <c r="M112" i="1" s="1"/>
  <c r="N112" i="1" s="1"/>
  <c r="K163" i="1"/>
  <c r="M163" i="1" s="1"/>
  <c r="K57" i="1"/>
  <c r="M57" i="1" s="1"/>
  <c r="N57" i="1" s="1"/>
  <c r="K62" i="1"/>
  <c r="M62" i="1" s="1"/>
  <c r="N62" i="1" s="1"/>
  <c r="K70" i="1"/>
  <c r="M70" i="1" s="1"/>
  <c r="N70" i="1" s="1"/>
  <c r="M131" i="1"/>
  <c r="N131" i="1" s="1"/>
  <c r="K209" i="1"/>
  <c r="M209" i="1" s="1"/>
  <c r="K126" i="1"/>
  <c r="M126" i="1" s="1"/>
  <c r="N126" i="1" s="1"/>
  <c r="K17" i="1"/>
  <c r="M17" i="1" s="1"/>
  <c r="N17" i="1" s="1"/>
  <c r="K33" i="1"/>
  <c r="M33" i="1" s="1"/>
  <c r="N33" i="1" s="1"/>
  <c r="M207" i="1"/>
  <c r="K154" i="1"/>
  <c r="M154" i="1" s="1"/>
  <c r="K184" i="1"/>
  <c r="M184" i="1" s="1"/>
  <c r="M212" i="1"/>
  <c r="K13" i="1"/>
  <c r="M13" i="1" s="1"/>
  <c r="N13" i="1" s="1"/>
  <c r="K78" i="1"/>
  <c r="M78" i="1" s="1"/>
  <c r="N78" i="1" s="1"/>
  <c r="K83" i="1"/>
  <c r="M83" i="1" s="1"/>
  <c r="N83" i="1" s="1"/>
  <c r="K217" i="1"/>
  <c r="M217" i="1" s="1"/>
  <c r="K113" i="1"/>
  <c r="M113" i="1" s="1"/>
  <c r="N113" i="1" s="1"/>
  <c r="K80" i="1"/>
  <c r="M80" i="1" s="1"/>
  <c r="N80" i="1" s="1"/>
  <c r="K141" i="1"/>
  <c r="M141" i="1" s="1"/>
  <c r="K150" i="1"/>
  <c r="M150" i="1" s="1"/>
  <c r="K88" i="1"/>
  <c r="M88" i="1" s="1"/>
  <c r="N88" i="1" s="1"/>
  <c r="K103" i="1"/>
  <c r="M103" i="1" s="1"/>
  <c r="N103" i="1" s="1"/>
  <c r="M128" i="1"/>
  <c r="N128" i="1" s="1"/>
  <c r="K168" i="1"/>
  <c r="M168" i="1" s="1"/>
  <c r="K221" i="1"/>
  <c r="M221" i="1" s="1"/>
  <c r="M133" i="1"/>
  <c r="N133" i="1" s="1"/>
  <c r="K193" i="1"/>
  <c r="M193" i="1" s="1"/>
  <c r="K196" i="1"/>
  <c r="K189" i="1"/>
  <c r="M189" i="1" s="1"/>
  <c r="M214" i="1"/>
  <c r="K104" i="1"/>
  <c r="M104" i="1" s="1"/>
  <c r="N104" i="1" s="1"/>
  <c r="M132" i="1"/>
  <c r="N132" i="1" s="1"/>
  <c r="K175" i="1"/>
  <c r="M175" i="1" s="1"/>
  <c r="K143" i="1"/>
  <c r="M143" i="1" s="1"/>
  <c r="K148" i="1"/>
  <c r="M148" i="1" s="1"/>
  <c r="K202" i="1"/>
  <c r="M202" i="1" s="1"/>
  <c r="K167" i="1"/>
  <c r="M167" i="1" s="1"/>
  <c r="K197" i="1"/>
  <c r="K170" i="1"/>
  <c r="M170" i="1" s="1"/>
  <c r="K194" i="1"/>
  <c r="K187" i="1"/>
  <c r="M187" i="1" s="1"/>
  <c r="M224" i="1"/>
  <c r="M228" i="1"/>
  <c r="M233" i="1"/>
  <c r="K164" i="1"/>
  <c r="M164" i="1" s="1"/>
  <c r="M215" i="1"/>
  <c r="M229" i="1"/>
  <c r="K210" i="1"/>
  <c r="M210" i="1" s="1"/>
  <c r="M223" i="1"/>
  <c r="M235" i="1"/>
  <c r="M216" i="1"/>
  <c r="N204" i="1" l="1"/>
  <c r="N232" i="1"/>
  <c r="R146" i="1"/>
  <c r="N218" i="1"/>
  <c r="R151" i="1"/>
  <c r="N178" i="1"/>
  <c r="R153" i="1"/>
  <c r="R159" i="1"/>
  <c r="R180" i="1"/>
  <c r="R156" i="1"/>
  <c r="R192" i="1"/>
  <c r="M199" i="1"/>
  <c r="N199" i="1" s="1"/>
  <c r="R145" i="1"/>
  <c r="R172" i="1"/>
  <c r="N190" i="1"/>
  <c r="R195" i="1"/>
  <c r="R191" i="1"/>
  <c r="R174" i="1"/>
  <c r="R142" i="1"/>
  <c r="N206" i="1"/>
  <c r="R206" i="1"/>
  <c r="R140" i="1"/>
  <c r="R138" i="1"/>
  <c r="N215" i="1"/>
  <c r="R215" i="1"/>
  <c r="K71" i="1"/>
  <c r="M71" i="1" s="1"/>
  <c r="N71" i="1" s="1"/>
  <c r="N209" i="1"/>
  <c r="R209" i="1"/>
  <c r="N177" i="1"/>
  <c r="R177" i="1"/>
  <c r="K176" i="1"/>
  <c r="M176" i="1" s="1"/>
  <c r="K75" i="1"/>
  <c r="M75" i="1" s="1"/>
  <c r="N75" i="1" s="1"/>
  <c r="K108" i="1"/>
  <c r="M108" i="1" s="1"/>
  <c r="N108" i="1" s="1"/>
  <c r="N225" i="1"/>
  <c r="R225" i="1"/>
  <c r="N231" i="1"/>
  <c r="R231" i="1"/>
  <c r="N189" i="1"/>
  <c r="R189" i="1"/>
  <c r="N169" i="1"/>
  <c r="R169" i="1"/>
  <c r="R144" i="1"/>
  <c r="N144" i="1"/>
  <c r="N158" i="1"/>
  <c r="R158" i="1"/>
  <c r="N235" i="1"/>
  <c r="R235" i="1"/>
  <c r="N228" i="1"/>
  <c r="R228" i="1"/>
  <c r="R202" i="1"/>
  <c r="N202" i="1"/>
  <c r="N152" i="1"/>
  <c r="R152" i="1"/>
  <c r="N203" i="1"/>
  <c r="R203" i="1"/>
  <c r="N166" i="1"/>
  <c r="R166" i="1"/>
  <c r="N219" i="1"/>
  <c r="R219" i="1"/>
  <c r="R137" i="1"/>
  <c r="N137" i="1"/>
  <c r="R162" i="1"/>
  <c r="N162" i="1"/>
  <c r="R226" i="1"/>
  <c r="N226" i="1"/>
  <c r="N216" i="1"/>
  <c r="R216" i="1"/>
  <c r="N217" i="1"/>
  <c r="R217" i="1"/>
  <c r="R224" i="1"/>
  <c r="N224" i="1"/>
  <c r="R148" i="1"/>
  <c r="N148" i="1"/>
  <c r="K99" i="1"/>
  <c r="M99" i="1" s="1"/>
  <c r="N99" i="1" s="1"/>
  <c r="N207" i="1"/>
  <c r="R207" i="1"/>
  <c r="M198" i="1"/>
  <c r="N198" i="1" s="1"/>
  <c r="K182" i="1"/>
  <c r="M182" i="1" s="1"/>
  <c r="M196" i="1"/>
  <c r="N196" i="1" s="1"/>
  <c r="R154" i="1"/>
  <c r="N154" i="1"/>
  <c r="R136" i="1"/>
  <c r="N136" i="1"/>
  <c r="K121" i="1"/>
  <c r="M121" i="1" s="1"/>
  <c r="N121" i="1" s="1"/>
  <c r="N212" i="1"/>
  <c r="R212" i="1"/>
  <c r="N201" i="1"/>
  <c r="R201" i="1"/>
  <c r="N200" i="1"/>
  <c r="R200" i="1"/>
  <c r="N234" i="1"/>
  <c r="R234" i="1"/>
  <c r="N193" i="1"/>
  <c r="R193" i="1"/>
  <c r="R150" i="1"/>
  <c r="N150" i="1"/>
  <c r="N139" i="1"/>
  <c r="R139" i="1"/>
  <c r="N205" i="1"/>
  <c r="R205" i="1"/>
  <c r="N171" i="1"/>
  <c r="R171" i="1"/>
  <c r="N173" i="1"/>
  <c r="R173" i="1"/>
  <c r="N181" i="1"/>
  <c r="R181" i="1"/>
  <c r="N210" i="1"/>
  <c r="R210" i="1"/>
  <c r="N220" i="1"/>
  <c r="R220" i="1"/>
  <c r="N165" i="1"/>
  <c r="R165" i="1"/>
  <c r="N183" i="1"/>
  <c r="R183" i="1"/>
  <c r="N185" i="1"/>
  <c r="R185" i="1"/>
  <c r="R214" i="1"/>
  <c r="N214" i="1"/>
  <c r="K42" i="1"/>
  <c r="M42" i="1" s="1"/>
  <c r="N42" i="1" s="1"/>
  <c r="M230" i="1"/>
  <c r="R208" i="1"/>
  <c r="N208" i="1"/>
  <c r="N147" i="1"/>
  <c r="R147" i="1"/>
  <c r="N184" i="1"/>
  <c r="R184" i="1"/>
  <c r="R135" i="1"/>
  <c r="N135" i="1"/>
  <c r="R222" i="1"/>
  <c r="N222" i="1"/>
  <c r="N161" i="1"/>
  <c r="R161" i="1"/>
  <c r="N164" i="1"/>
  <c r="R164" i="1"/>
  <c r="N167" i="1"/>
  <c r="R167" i="1"/>
  <c r="R168" i="1"/>
  <c r="N168" i="1"/>
  <c r="M197" i="1"/>
  <c r="N197" i="1" s="1"/>
  <c r="R160" i="1"/>
  <c r="N160" i="1"/>
  <c r="N149" i="1"/>
  <c r="R149" i="1"/>
  <c r="N229" i="1"/>
  <c r="R229" i="1"/>
  <c r="M194" i="1"/>
  <c r="N194" i="1" s="1"/>
  <c r="R170" i="1"/>
  <c r="N170" i="1"/>
  <c r="N143" i="1"/>
  <c r="R143" i="1"/>
  <c r="N175" i="1"/>
  <c r="R175" i="1"/>
  <c r="N221" i="1"/>
  <c r="R221" i="1"/>
  <c r="N223" i="1"/>
  <c r="R223" i="1"/>
  <c r="N141" i="1"/>
  <c r="R141" i="1"/>
  <c r="K12" i="1"/>
  <c r="M12" i="1" s="1"/>
  <c r="N12" i="1" s="1"/>
  <c r="N213" i="1"/>
  <c r="R213" i="1"/>
  <c r="R186" i="1"/>
  <c r="N186" i="1"/>
  <c r="N157" i="1"/>
  <c r="R157" i="1"/>
  <c r="N211" i="1"/>
  <c r="R211" i="1"/>
  <c r="N163" i="1"/>
  <c r="R163" i="1"/>
  <c r="N233" i="1"/>
  <c r="R233" i="1"/>
  <c r="N187" i="1"/>
  <c r="R187" i="1"/>
  <c r="K155" i="1"/>
  <c r="M155" i="1" s="1"/>
  <c r="N188" i="1"/>
  <c r="R188" i="1"/>
  <c r="N227" i="1"/>
  <c r="R227" i="1"/>
  <c r="N179" i="1"/>
  <c r="R179" i="1"/>
  <c r="R194" i="1" l="1"/>
  <c r="R199" i="1"/>
  <c r="R197" i="1"/>
  <c r="R182" i="1"/>
  <c r="N182" i="1"/>
  <c r="R198" i="1"/>
  <c r="R230" i="1"/>
  <c r="N230" i="1"/>
  <c r="R176" i="1"/>
  <c r="N176" i="1"/>
  <c r="N155" i="1"/>
  <c r="R155" i="1"/>
  <c r="M11" i="1"/>
  <c r="K247" i="1"/>
  <c r="R196" i="1"/>
  <c r="M247" i="1" l="1"/>
  <c r="N11" i="1"/>
  <c r="N247" i="1" l="1"/>
  <c r="W2" i="1" l="1"/>
  <c r="X2" i="1"/>
  <c r="L236" i="1"/>
  <c r="G236" i="1"/>
  <c r="W5" i="1"/>
  <c r="X5" i="1"/>
  <c r="Y5" i="1" s="1"/>
  <c r="L134" i="1"/>
  <c r="G134" i="1"/>
  <c r="X3" i="1"/>
  <c r="Y3" i="1" s="1"/>
  <c r="W3" i="1"/>
  <c r="X7" i="1"/>
  <c r="Y7" i="1" s="1"/>
  <c r="W7" i="1"/>
  <c r="L93" i="1"/>
  <c r="G93" i="1"/>
  <c r="L51" i="1"/>
  <c r="G51" i="1"/>
  <c r="X6" i="1"/>
  <c r="Y6" i="1" s="1"/>
  <c r="W6" i="1"/>
  <c r="W4" i="1"/>
  <c r="X4" i="1"/>
  <c r="Y4" i="1" s="1"/>
  <c r="G239" i="1" l="1"/>
  <c r="G238" i="1"/>
  <c r="D8" i="1"/>
  <c r="L239" i="1"/>
  <c r="L238" i="1"/>
  <c r="X8" i="1"/>
  <c r="Y8" i="1" s="1"/>
  <c r="Y2" i="1"/>
  <c r="W8" i="1"/>
  <c r="K10" i="2" l="1"/>
  <c r="H10" i="2" s="1"/>
  <c r="K11" i="2"/>
  <c r="H11" i="2" s="1"/>
  <c r="K12" i="2"/>
  <c r="H12" i="2" s="1"/>
  <c r="G11" i="2" l="1"/>
  <c r="G12" i="2"/>
  <c r="J13" i="2"/>
  <c r="K9" i="2"/>
  <c r="K13" i="2" s="1"/>
  <c r="I13" i="2"/>
  <c r="G10" i="2"/>
  <c r="H9" i="2" l="1"/>
  <c r="D9" i="2" s="1"/>
  <c r="G9" i="2"/>
  <c r="I20" i="2"/>
  <c r="C12" i="2" s="1"/>
  <c r="L9" i="2" l="1"/>
  <c r="C9" i="2"/>
  <c r="C10" i="2"/>
  <c r="L10" i="2"/>
  <c r="F10" i="2"/>
  <c r="F12" i="2"/>
  <c r="E9" i="2"/>
  <c r="E10" i="2"/>
  <c r="E12" i="2"/>
  <c r="F9" i="2"/>
  <c r="F11" i="2"/>
  <c r="E11" i="2"/>
  <c r="L11" i="2"/>
  <c r="C11" i="2"/>
  <c r="L12" i="2"/>
</calcChain>
</file>

<file path=xl/sharedStrings.xml><?xml version="1.0" encoding="utf-8"?>
<sst xmlns="http://schemas.openxmlformats.org/spreadsheetml/2006/main" count="766" uniqueCount="113">
  <si>
    <r>
      <t xml:space="preserve">הצהרה על דירות - </t>
    </r>
    <r>
      <rPr>
        <b/>
        <u/>
        <sz val="14"/>
        <color rgb="FFFF0000"/>
        <rFont val="Aptos Narrow"/>
        <family val="2"/>
        <scheme val="minor"/>
      </rPr>
      <t>לפי מכרז מחיר מטרה</t>
    </r>
  </si>
  <si>
    <t>כמות חדרים</t>
  </si>
  <si>
    <t>סה"כ</t>
  </si>
  <si>
    <t>דירות לשוק חופשי</t>
  </si>
  <si>
    <t>משתכן ביחידות</t>
  </si>
  <si>
    <t>משתכן באחוזים</t>
  </si>
  <si>
    <t>ממוצע דירות קטנות/ גדולות</t>
  </si>
  <si>
    <t>נספח ג'4 לחוזה - דוגמא</t>
  </si>
  <si>
    <t>שם ישוב:</t>
  </si>
  <si>
    <t>פתח תקווה</t>
  </si>
  <si>
    <t>שם קבלן/יזם:</t>
  </si>
  <si>
    <t>מספר מתחם:</t>
  </si>
  <si>
    <t>מחיר מ"ר כולל מע"מ בש"ח (ללא הצמדה):</t>
  </si>
  <si>
    <t>מס' הגרלה:</t>
  </si>
  <si>
    <t>לא לשנות ולא להוסיף עמודות בתוך הטבלה!</t>
  </si>
  <si>
    <t>מספר יח"ד במתחם:</t>
  </si>
  <si>
    <t>מספר יח"ד במחיר למשתכן:</t>
  </si>
  <si>
    <t>אחוז דירות מחיר למשתכן:</t>
  </si>
  <si>
    <t>מספר/שם מבנה</t>
  </si>
  <si>
    <t>מספר מגרש בתב"ע</t>
  </si>
  <si>
    <t>מספר דירה</t>
  </si>
  <si>
    <t xml:space="preserve">טיפוס דירה (תשריט) </t>
  </si>
  <si>
    <t>קומה</t>
  </si>
  <si>
    <t>מספר חדרים</t>
  </si>
  <si>
    <t>שטח דירה (מטר)</t>
  </si>
  <si>
    <t>שטח מרפסת שמש ו/או שטח גינה צמודה</t>
  </si>
  <si>
    <t>שטח מחסן</t>
  </si>
  <si>
    <t>מספר חניות</t>
  </si>
  <si>
    <t>מחיר דירה
לפי
מחיר מ"ר עיקרי  בנוי ללא מקדמי קומות</t>
  </si>
  <si>
    <t>מכירה במסגרת מחיר מטרה (כן/לא)</t>
  </si>
  <si>
    <t xml:space="preserve">חישוב מחיר דירה לאחר תוספת/הפחת מקדמי קומות </t>
  </si>
  <si>
    <t>חישוב מחיר דירה לאחר הנחה ( 20% עד ל300 אש"ח)</t>
  </si>
  <si>
    <t>הערות</t>
  </si>
  <si>
    <t>מספר מחסן</t>
  </si>
  <si>
    <t>שטח דירה</t>
  </si>
  <si>
    <t>A1/1</t>
  </si>
  <si>
    <t>A1-E</t>
  </si>
  <si>
    <t>ק</t>
  </si>
  <si>
    <t>מקדם</t>
  </si>
  <si>
    <t>שטח מירבי במ"ר</t>
  </si>
  <si>
    <t>A</t>
  </si>
  <si>
    <t>B</t>
  </si>
  <si>
    <t>שטח דירה מעל המותר</t>
  </si>
  <si>
    <t>B'</t>
  </si>
  <si>
    <t>מרפסת עד 30 מ"ר</t>
  </si>
  <si>
    <t>C</t>
  </si>
  <si>
    <t>מרפסת בין 31-60 מ"ר</t>
  </si>
  <si>
    <t>C'</t>
  </si>
  <si>
    <t>מרפסת בין 120-61 מ"ר</t>
  </si>
  <si>
    <t>מרפסת מעל 121</t>
  </si>
  <si>
    <t>A-PA</t>
  </si>
  <si>
    <t>A-PB</t>
  </si>
  <si>
    <t>A-PC</t>
  </si>
  <si>
    <t>A-PC'</t>
  </si>
  <si>
    <t>שטח דירה ממוצע בבניין</t>
  </si>
  <si>
    <t>אחוז דירות מחיר למשתכן בבניין</t>
  </si>
  <si>
    <t>A2/2</t>
  </si>
  <si>
    <t>A2-E</t>
  </si>
  <si>
    <t>A2-E'</t>
  </si>
  <si>
    <t>B/3</t>
  </si>
  <si>
    <t>B-E</t>
  </si>
  <si>
    <t>B-E'</t>
  </si>
  <si>
    <t>B-PA</t>
  </si>
  <si>
    <t>B-PB</t>
  </si>
  <si>
    <t>B-PC</t>
  </si>
  <si>
    <t>תוספת קומה</t>
  </si>
  <si>
    <t>C/4</t>
  </si>
  <si>
    <t>A1</t>
  </si>
  <si>
    <t>C1</t>
  </si>
  <si>
    <t>D</t>
  </si>
  <si>
    <t>E</t>
  </si>
  <si>
    <t>F1</t>
  </si>
  <si>
    <t>F</t>
  </si>
  <si>
    <t>G</t>
  </si>
  <si>
    <t>H</t>
  </si>
  <si>
    <t>I</t>
  </si>
  <si>
    <t>J</t>
  </si>
  <si>
    <t>C-PA</t>
  </si>
  <si>
    <t>C-PB</t>
  </si>
  <si>
    <t>סה"כ שטח דירות מחיר למשתכן במתחם</t>
  </si>
  <si>
    <t>מספר דירות מחיר למשתכן</t>
  </si>
  <si>
    <t>שטח דירה ממוצע במתחם</t>
  </si>
  <si>
    <t>אחוז דירות מחיר למשתכן</t>
  </si>
  <si>
    <r>
      <rPr>
        <b/>
        <sz val="16"/>
        <color theme="1"/>
        <rFont val="Aptos Narrow"/>
        <family val="2"/>
        <scheme val="minor"/>
      </rPr>
      <t>הצהרה</t>
    </r>
    <r>
      <rPr>
        <sz val="12"/>
        <color theme="1"/>
        <rFont val="Aptos Narrow"/>
        <family val="2"/>
        <charset val="177"/>
        <scheme val="minor"/>
      </rPr>
      <t xml:space="preserve">
אנו מצהירים שחישוב השטחים ומפרט הדירות לעיל בהתאם לדרישות מכרז מחיר למשתכן</t>
    </r>
  </si>
  <si>
    <t xml:space="preserve">                     יזם / קבלן                          אדריכל                              מודד                                 עו"ד              </t>
  </si>
  <si>
    <t xml:space="preserve">   
      תאריך:       ______________     ______________        ________________     ________________
      חתימה:      ______________     ______________        ________________     ________________</t>
  </si>
  <si>
    <t xml:space="preserve">מתחם </t>
  </si>
  <si>
    <t>מספר בניין</t>
  </si>
  <si>
    <t>יחס שוק חופשי</t>
  </si>
  <si>
    <t>אחוז מינמלי לשוק חופשי</t>
  </si>
  <si>
    <t>אחוז מקסימלי לשוק חופשי</t>
  </si>
  <si>
    <t>אחוז יח"ד שוק חופשי</t>
  </si>
  <si>
    <t>אחוז יח"ד משתכן</t>
  </si>
  <si>
    <t>יח"ד משתכן</t>
  </si>
  <si>
    <t>יח"ד שוק חופשי</t>
  </si>
  <si>
    <t>סה"כ דירות</t>
  </si>
  <si>
    <t>אחוז שוק חופשי במתחם</t>
  </si>
  <si>
    <t>כן</t>
  </si>
  <si>
    <t>לא</t>
  </si>
  <si>
    <t>הנחיות  למילוי נספח ג4</t>
  </si>
  <si>
    <t xml:space="preserve">מספר עמודה </t>
  </si>
  <si>
    <t>נושא</t>
  </si>
  <si>
    <t>הסבר</t>
  </si>
  <si>
    <t>K</t>
  </si>
  <si>
    <t xml:space="preserve">מחיר דירה לפי מחיר מ"ר עיקרי  בנוי </t>
  </si>
  <si>
    <t>חישוב מחיר דירה לפי מכרז מחיר מטרה:
שטח דירה במטרים - מוכפל במחיר למטר כולל מע"מ בש"ח +
שטח מרפסת שמש ו/או שטח גינה - מוכפל ב- X% מחיר למטר כולל מע"מ בש"ח  + 
שטח מחסן - מוכפל ב- X% מחיר למטר כולל מע"מ בש"ח +
מספר חניות - מוכפל ב- X%  מחיר למטר כולל מע"מ בש"ח 
האחוזים יכולים להיות שונים ממכרז למכרז וכמו כן גם שינויים נוספים בתמחורי הדירות כגון מקדמי קומות וכדומה. באחריות הקבלן להוסיף נוסחא לחישוב מחיר הדירה!!!</t>
  </si>
  <si>
    <t>L</t>
  </si>
  <si>
    <t xml:space="preserve">יש לסמן  20% מכלל הדירות היקרות ביותר בכל בניין יוחרגו מראש בהתאם לשיקול דעתו הבלעדי של המשרד. דירות כאמור, ככל ויוחרגו, יאושרו מראש למכירה בשוק החופשי, והן תחושבנה כחלק ממכסת הדירות המיועדות למכירה בשוק החופשי, ולא יעמדו לבחירת הזכאים.	
לטובת קביעת הדירות שיוחרגו, יציג היזם על גבי נספח ג'4, את מחירי כלל הדירות בפרויקט
בהתאם לתחשיב המתבסס על מחיר מ"ר בנוי עיקרי שנקבע במכרז, ללא הנחה או הפחתה ( עמודה K).	 
לאחר ההחרגה כאמור, תועמד יתרת הדירות בפרויקט לבחירת הזכאים למשך תקופה של 3 חודשים מיום הבחירה הראשון, ממנה יבחרו את הדירה אשר ירכשו במסגרת מחיר מטרה, עליה תינתן הנחה כפי שנקבע במכרז. 	
</t>
  </si>
  <si>
    <t>M</t>
  </si>
  <si>
    <t>בבנין רב קומות כהגדרתו בתקנות התכנון והבנייה, המחיר למ"ר בנוי עיקרי משקף את מחירה של דירה בקומת המגורים האמצעית, או 2 הקומות האמצעיות בבניין שבו מספר זוגי של קומות מגורים. לצורך חישוב מקדמי הקומות יילקחו בחשבון קומות הכוללות לפחות 2 דירות מגורים בקומה. כל דירה הממוקמת בקומה הגבוהה מקומת/קומות המגורים האמצעית תחושב בתוספת חצי אחוז לכל קומה מעל הקומה/קומות האמצעיות ועד 5% תוספת לכל היותר למ"ר בנוי עיקרי. כל דירה הממוקמת בקומה נמוכה מקומת/קומות המגורים האמצעית תחושב בהפחתה של חצי אחוז לקומה ועד 5% הפחתה לכל היותר למ"ר בנוי עיקרי. יובהר כי כל דירה הממוקמת מעל או מתחת לקומה הכוללת את הסטייה המקסימלית של 5%, תחושב עם הסטיה המקסימלית של 5% מהמחיר למ"ר בנוי עיקרי בלבד.  יש לסמן את הקומה/קומות האמצעיות!!</t>
  </si>
  <si>
    <t xml:space="preserve">כללי </t>
  </si>
  <si>
    <t>חלוקת תמהיל הדירות</t>
  </si>
  <si>
    <t xml:space="preserve">סך של 20%, שהן הדירות היקרות בפרויקט, יוקצו למכירה בשוק החופשי.
מיתרת הדירות, תבוצע החלוקה ביחס הנותר, לאחר הפחתת הדירות היקרות ממכסת השוק החופשי, בין דירות מחיר מטרה לדירות השוק החופשי. 
הדירות הנותרות יחולקו לקבוצות, בהתאם למספר החדרים בדירה. כך, שיחס דירות מחיר מטרה בכל קבוצה יהיה בהתאם ליחס החלוקה שנותר. יובהר כי בכל אחת מהקבוצות, ככלל, הדירות שיוקצו לזכאי מחיר מטרה, יהיו הזולות ביותר מכלל הדירות בקבוצה.
יובהר כי במקרה של יחס עם שארית (כל שארית), יעוגל מספר הדירות כך שתועדף הקצאה של דירה קטנה יותר לטובת הקצאה לדירות מחיר מטרה.  
על אף האמור לעיל, יורשה המשרד – מיוזמתו ובהתאם לשיקול דעתו הבלעדי – לבצע שינוי בחלוקה  המפורטת – 10% מסך כלל הדירות בפרויקט (לרבות דירות השוק החופשי, ודירות בהקלה ככל ויאושרו).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</si>
</sst>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quot;₪&quot;\ * #,##0_ ;_ &quot;₪&quot;\ * \-#,##0_ ;_ &quot;₪&quot;\ * &quot;-&quot;??_ ;_ @_ "/>
    <numFmt numFmtId="165" formatCode="0.0%"/>
    <numFmt numFmtId="166" formatCode="&quot;₪&quot;\ #,##0"/>
    <numFmt numFmtId="167" formatCode="0.0"/>
  </numFmts>
  <fonts count="25" x14ac:knownFonts="1">
    <font>
      <sz val="11"/>
      <color theme="1"/>
      <name val="Aptos Narrow"/>
      <family val="2"/>
      <scheme val="minor"/>
    </font>
    <font>
      <sz val="11"/>
      <color theme="1"/>
      <name val="Aptos Narrow"/>
      <family val="2"/>
      <charset val="177"/>
      <scheme val="minor"/>
    </font>
    <font>
      <sz val="11"/>
      <color theme="1"/>
      <name val="Aptos Narrow"/>
      <family val="2"/>
      <charset val="177"/>
      <scheme val="minor"/>
    </font>
    <font>
      <sz val="11"/>
      <color theme="1"/>
      <name val="Aptos Narrow"/>
      <family val="2"/>
      <charset val="177"/>
      <scheme val="minor"/>
    </font>
    <font>
      <b/>
      <u/>
      <sz val="14"/>
      <color theme="3"/>
      <name val="Aptos Narrow"/>
      <family val="2"/>
      <scheme val="minor"/>
    </font>
    <font>
      <b/>
      <u/>
      <sz val="14"/>
      <color rgb="FFFF0000"/>
      <name val="Aptos Narrow"/>
      <family val="2"/>
      <scheme val="minor"/>
    </font>
    <font>
      <b/>
      <sz val="11"/>
      <color theme="1"/>
      <name val="Aptos Narrow"/>
      <family val="2"/>
      <scheme val="minor"/>
    </font>
    <font>
      <b/>
      <sz val="11"/>
      <color rgb="FFFF0000"/>
      <name val="Aptos Narrow"/>
      <family val="2"/>
      <scheme val="minor"/>
    </font>
    <font>
      <sz val="11"/>
      <color theme="1"/>
      <name val="Aptos Narrow"/>
      <family val="2"/>
      <scheme val="minor"/>
    </font>
    <font>
      <b/>
      <sz val="18"/>
      <color rgb="FFFF0000"/>
      <name val="Aptos Narrow"/>
      <family val="2"/>
      <scheme val="minor"/>
    </font>
    <font>
      <sz val="18"/>
      <color rgb="FFFF0000"/>
      <name val="Aptos Narrow"/>
      <family val="2"/>
      <scheme val="minor"/>
    </font>
    <font>
      <b/>
      <sz val="11"/>
      <color theme="3"/>
      <name val="Aptos Narrow"/>
      <family val="2"/>
      <scheme val="minor"/>
    </font>
    <font>
      <b/>
      <sz val="11"/>
      <color rgb="FF0070C0"/>
      <name val="Aptos Narrow"/>
      <family val="2"/>
      <scheme val="minor"/>
    </font>
    <font>
      <b/>
      <u/>
      <sz val="11"/>
      <color theme="1"/>
      <name val="Aptos Narrow"/>
      <family val="2"/>
      <scheme val="minor"/>
    </font>
    <font>
      <sz val="11"/>
      <color theme="3"/>
      <name val="Aptos Narrow"/>
      <family val="2"/>
      <scheme val="minor"/>
    </font>
    <font>
      <sz val="11"/>
      <color rgb="FFFF0000"/>
      <name val="Aptos Narrow"/>
      <family val="2"/>
      <scheme val="minor"/>
    </font>
    <font>
      <sz val="12"/>
      <color theme="1"/>
      <name val="Aptos Narrow"/>
      <family val="2"/>
      <scheme val="minor"/>
    </font>
    <font>
      <b/>
      <sz val="16"/>
      <color theme="1"/>
      <name val="Aptos Narrow"/>
      <family val="2"/>
      <scheme val="minor"/>
    </font>
    <font>
      <sz val="12"/>
      <color theme="1"/>
      <name val="Aptos Narrow"/>
      <family val="2"/>
      <charset val="177"/>
      <scheme val="minor"/>
    </font>
    <font>
      <b/>
      <sz val="12"/>
      <color theme="1"/>
      <name val="Aptos Narrow"/>
      <family val="2"/>
      <scheme val="minor"/>
    </font>
    <font>
      <b/>
      <sz val="14"/>
      <color rgb="FFFF0000"/>
      <name val="Aptos Narrow"/>
      <family val="2"/>
      <scheme val="minor"/>
    </font>
    <font>
      <sz val="11"/>
      <name val="Aptos Narrow"/>
      <family val="2"/>
      <charset val="177"/>
      <scheme val="minor"/>
    </font>
    <font>
      <b/>
      <sz val="11"/>
      <color theme="0"/>
      <name val="Aptos Narrow"/>
      <family val="2"/>
      <scheme val="minor"/>
    </font>
    <font>
      <sz val="22"/>
      <color theme="1"/>
      <name val="Aptos Narrow"/>
      <family val="2"/>
      <charset val="177"/>
      <scheme val="minor"/>
    </font>
    <font>
      <b/>
      <sz val="12"/>
      <color theme="3"/>
      <name val="David"/>
      <family val="2"/>
    </font>
  </fonts>
  <fills count="10">
    <fill>
      <patternFill patternType="none"/>
    </fill>
    <fill>
      <patternFill patternType="gray125"/>
    </fill>
    <fill>
      <patternFill patternType="solid">
        <fgColor rgb="FFFFFFCC"/>
      </patternFill>
    </fill>
    <fill>
      <patternFill patternType="solid">
        <fgColor rgb="FFCCFF66"/>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0000"/>
        <bgColor indexed="64"/>
      </patternFill>
    </fill>
  </fills>
  <borders count="50">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FF0000"/>
      </left>
      <right style="thin">
        <color rgb="FFFF0000"/>
      </right>
      <top style="thin">
        <color rgb="FFFF0000"/>
      </top>
      <bottom style="thin">
        <color rgb="FFFF0000"/>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s>
  <cellStyleXfs count="13">
    <xf numFmtId="0" fontId="0" fillId="0" borderId="0"/>
    <xf numFmtId="9" fontId="8" fillId="0" borderId="0" applyFont="0" applyFill="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3" fillId="2" borderId="1" applyNumberFormat="0" applyFont="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cellStyleXfs>
  <cellXfs count="213">
    <xf numFmtId="0" fontId="0" fillId="0" borderId="0" xfId="0"/>
    <xf numFmtId="0" fontId="3" fillId="0" borderId="0" xfId="2" applyAlignment="1">
      <alignment horizontal="center"/>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164" fontId="6" fillId="3" borderId="3" xfId="3" applyNumberFormat="1" applyFont="1" applyFill="1" applyBorder="1" applyAlignment="1">
      <alignment horizontal="center" vertical="center" wrapText="1"/>
    </xf>
    <xf numFmtId="164" fontId="6" fillId="3" borderId="4" xfId="3" applyNumberFormat="1" applyFont="1" applyFill="1" applyBorder="1" applyAlignment="1">
      <alignment horizontal="center" vertical="center" wrapText="1"/>
    </xf>
    <xf numFmtId="0" fontId="4" fillId="0" borderId="0" xfId="2" applyFont="1" applyAlignment="1">
      <alignment horizontal="center"/>
    </xf>
    <xf numFmtId="0" fontId="6" fillId="3" borderId="5" xfId="2" applyFont="1" applyFill="1" applyBorder="1" applyAlignment="1">
      <alignment horizontal="center"/>
    </xf>
    <xf numFmtId="0" fontId="3" fillId="3" borderId="6" xfId="2" applyFill="1" applyBorder="1" applyAlignment="1">
      <alignment horizontal="center"/>
    </xf>
    <xf numFmtId="165" fontId="0" fillId="3" borderId="6" xfId="4" applyNumberFormat="1" applyFont="1" applyFill="1" applyBorder="1" applyAlignment="1">
      <alignment horizontal="center"/>
    </xf>
    <xf numFmtId="165" fontId="6" fillId="3" borderId="7" xfId="4" applyNumberFormat="1" applyFont="1" applyFill="1" applyBorder="1" applyAlignment="1">
      <alignment horizontal="center" vertical="center"/>
    </xf>
    <xf numFmtId="0" fontId="6" fillId="0" borderId="0" xfId="2" applyFont="1" applyAlignment="1">
      <alignment horizontal="center"/>
    </xf>
    <xf numFmtId="0" fontId="6" fillId="4" borderId="8" xfId="2" applyFont="1" applyFill="1" applyBorder="1" applyAlignment="1">
      <alignment horizontal="center"/>
    </xf>
    <xf numFmtId="0" fontId="6" fillId="3" borderId="9" xfId="2" applyFont="1" applyFill="1" applyBorder="1" applyAlignment="1">
      <alignment horizontal="center"/>
    </xf>
    <xf numFmtId="0" fontId="3" fillId="3" borderId="10" xfId="2" applyFill="1" applyBorder="1" applyAlignment="1">
      <alignment horizontal="center"/>
    </xf>
    <xf numFmtId="165" fontId="0" fillId="3" borderId="10" xfId="4" applyNumberFormat="1" applyFont="1" applyFill="1" applyBorder="1" applyAlignment="1">
      <alignment horizontal="center"/>
    </xf>
    <xf numFmtId="0" fontId="8" fillId="0" borderId="0" xfId="2" applyFont="1" applyAlignment="1">
      <alignment horizontal="center"/>
    </xf>
    <xf numFmtId="166" fontId="3" fillId="5" borderId="14" xfId="2" applyNumberFormat="1" applyFill="1" applyBorder="1" applyAlignment="1">
      <alignment horizontal="center"/>
    </xf>
    <xf numFmtId="0" fontId="9" fillId="5" borderId="0" xfId="2" applyFont="1" applyFill="1" applyAlignment="1">
      <alignment horizontal="center"/>
    </xf>
    <xf numFmtId="0" fontId="10" fillId="5" borderId="0" xfId="2" applyFont="1" applyFill="1" applyAlignment="1">
      <alignment horizontal="center"/>
    </xf>
    <xf numFmtId="3" fontId="3" fillId="0" borderId="0" xfId="2" applyNumberFormat="1" applyAlignment="1">
      <alignment horizontal="center"/>
    </xf>
    <xf numFmtId="0" fontId="3" fillId="4" borderId="16" xfId="2" applyFill="1" applyBorder="1" applyAlignment="1">
      <alignment horizontal="center"/>
    </xf>
    <xf numFmtId="9" fontId="3" fillId="0" borderId="0" xfId="2" applyNumberFormat="1" applyAlignment="1">
      <alignment horizontal="center"/>
    </xf>
    <xf numFmtId="0" fontId="6" fillId="2" borderId="17" xfId="5" applyFont="1" applyBorder="1" applyAlignment="1">
      <alignment horizontal="center"/>
    </xf>
    <xf numFmtId="0" fontId="6" fillId="2" borderId="18" xfId="5" applyFont="1" applyBorder="1" applyAlignment="1">
      <alignment horizontal="center"/>
    </xf>
    <xf numFmtId="165" fontId="6" fillId="2" borderId="18" xfId="1" applyNumberFormat="1" applyFont="1" applyFill="1" applyBorder="1" applyAlignment="1">
      <alignment horizontal="center"/>
    </xf>
    <xf numFmtId="0" fontId="6" fillId="2" borderId="19" xfId="5" applyFont="1" applyBorder="1" applyAlignment="1">
      <alignment horizontal="center"/>
    </xf>
    <xf numFmtId="1" fontId="3" fillId="0" borderId="0" xfId="2" applyNumberFormat="1" applyAlignment="1">
      <alignment horizontal="center"/>
    </xf>
    <xf numFmtId="0" fontId="11" fillId="0" borderId="2"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4" xfId="2" applyFont="1" applyBorder="1" applyAlignment="1">
      <alignment horizontal="center" vertical="center" wrapText="1"/>
    </xf>
    <xf numFmtId="0" fontId="11" fillId="0" borderId="0" xfId="2" applyFont="1" applyAlignment="1">
      <alignment horizontal="center" vertical="center" wrapText="1"/>
    </xf>
    <xf numFmtId="0" fontId="11" fillId="0" borderId="0" xfId="2" applyFont="1" applyAlignment="1">
      <alignment horizontal="center" wrapText="1"/>
    </xf>
    <xf numFmtId="0" fontId="3" fillId="0" borderId="20" xfId="2" applyBorder="1" applyAlignment="1">
      <alignment horizontal="center" vertical="center"/>
    </xf>
    <xf numFmtId="0" fontId="3" fillId="0" borderId="21" xfId="2" applyBorder="1" applyAlignment="1">
      <alignment horizontal="center" vertical="center"/>
    </xf>
    <xf numFmtId="0" fontId="3" fillId="0" borderId="21" xfId="2" applyBorder="1" applyAlignment="1">
      <alignment horizontal="center"/>
    </xf>
    <xf numFmtId="4" fontId="3" fillId="6" borderId="21" xfId="2" applyNumberFormat="1" applyFill="1" applyBorder="1" applyAlignment="1">
      <alignment horizontal="center"/>
    </xf>
    <xf numFmtId="3" fontId="3" fillId="0" borderId="21" xfId="2" applyNumberFormat="1" applyBorder="1" applyAlignment="1">
      <alignment horizontal="center"/>
    </xf>
    <xf numFmtId="166" fontId="3" fillId="0" borderId="21" xfId="2" applyNumberFormat="1" applyBorder="1" applyAlignment="1">
      <alignment horizontal="center"/>
    </xf>
    <xf numFmtId="166" fontId="3" fillId="0" borderId="21" xfId="2" applyNumberFormat="1" applyBorder="1" applyAlignment="1">
      <alignment horizontal="center" vertical="center"/>
    </xf>
    <xf numFmtId="3" fontId="3" fillId="6" borderId="22" xfId="2" applyNumberFormat="1" applyFill="1" applyBorder="1" applyAlignment="1">
      <alignment horizontal="center" vertical="center"/>
    </xf>
    <xf numFmtId="166" fontId="3" fillId="0" borderId="0" xfId="2" applyNumberFormat="1" applyAlignment="1">
      <alignment horizontal="center"/>
    </xf>
    <xf numFmtId="0" fontId="2" fillId="0" borderId="23" xfId="6" applyBorder="1" applyAlignment="1">
      <alignment vertical="center"/>
    </xf>
    <xf numFmtId="0" fontId="2" fillId="0" borderId="24" xfId="6" applyBorder="1" applyAlignment="1">
      <alignment vertical="center"/>
    </xf>
    <xf numFmtId="0" fontId="0" fillId="0" borderId="25" xfId="0" applyBorder="1" applyAlignment="1">
      <alignment horizontal="center" vertical="center"/>
    </xf>
    <xf numFmtId="0" fontId="0" fillId="0" borderId="26" xfId="0" applyBorder="1" applyAlignment="1">
      <alignment horizontal="center" vertical="center"/>
    </xf>
    <xf numFmtId="0" fontId="3" fillId="0" borderId="9" xfId="2" applyBorder="1" applyAlignment="1">
      <alignment horizontal="center" vertical="center"/>
    </xf>
    <xf numFmtId="0" fontId="3" fillId="0" borderId="10" xfId="2" applyBorder="1" applyAlignment="1">
      <alignment horizontal="center" vertical="center"/>
    </xf>
    <xf numFmtId="2" fontId="3" fillId="0" borderId="10" xfId="2" applyNumberFormat="1" applyBorder="1" applyAlignment="1">
      <alignment horizontal="center"/>
    </xf>
    <xf numFmtId="0" fontId="3" fillId="6" borderId="10" xfId="2" applyFill="1" applyBorder="1" applyAlignment="1">
      <alignment horizontal="center" vertical="center"/>
    </xf>
    <xf numFmtId="166" fontId="3" fillId="0" borderId="10" xfId="2" applyNumberFormat="1" applyBorder="1" applyAlignment="1">
      <alignment horizontal="center"/>
    </xf>
    <xf numFmtId="166" fontId="3" fillId="0" borderId="10" xfId="2" applyNumberFormat="1" applyBorder="1" applyAlignment="1">
      <alignment horizontal="center" vertical="center"/>
    </xf>
    <xf numFmtId="0" fontId="3" fillId="0" borderId="10" xfId="2" applyBorder="1" applyAlignment="1">
      <alignment horizontal="center"/>
    </xf>
    <xf numFmtId="0" fontId="3" fillId="6" borderId="27" xfId="2" applyFill="1" applyBorder="1" applyAlignment="1">
      <alignment horizontal="center"/>
    </xf>
    <xf numFmtId="0" fontId="3" fillId="0" borderId="0" xfId="2" applyAlignment="1">
      <alignment horizontal="center" vertical="center"/>
    </xf>
    <xf numFmtId="0" fontId="2" fillId="0" borderId="28" xfId="6" applyBorder="1"/>
    <xf numFmtId="9" fontId="0" fillId="0" borderId="29" xfId="7"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3" fillId="6" borderId="27" xfId="2" applyFill="1" applyBorder="1" applyAlignment="1">
      <alignment horizontal="center" vertical="center"/>
    </xf>
    <xf numFmtId="2" fontId="3" fillId="0" borderId="0" xfId="2" applyNumberFormat="1" applyAlignment="1">
      <alignment horizontal="center"/>
    </xf>
    <xf numFmtId="0" fontId="2" fillId="0" borderId="0" xfId="2" applyFont="1" applyAlignment="1">
      <alignment horizontal="center"/>
    </xf>
    <xf numFmtId="0" fontId="2" fillId="0" borderId="28" xfId="2" applyFont="1" applyBorder="1" applyAlignment="1">
      <alignment horizontal="right"/>
    </xf>
    <xf numFmtId="0" fontId="3" fillId="6" borderId="10" xfId="2" applyFill="1" applyBorder="1" applyAlignment="1">
      <alignment horizontal="center"/>
    </xf>
    <xf numFmtId="0" fontId="2" fillId="0" borderId="28" xfId="6" applyBorder="1" applyAlignment="1">
      <alignment horizontal="center" vertical="center"/>
    </xf>
    <xf numFmtId="0" fontId="2" fillId="0" borderId="29" xfId="6" applyBorder="1" applyAlignment="1">
      <alignment horizontal="center" vertical="center"/>
    </xf>
    <xf numFmtId="0" fontId="2" fillId="0" borderId="32" xfId="6" applyBorder="1"/>
    <xf numFmtId="9" fontId="0" fillId="0" borderId="33" xfId="7"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3" fillId="0" borderId="17" xfId="2" applyBorder="1" applyAlignment="1">
      <alignment horizontal="center" vertical="center"/>
    </xf>
    <xf numFmtId="0" fontId="3" fillId="0" borderId="18" xfId="2" applyBorder="1" applyAlignment="1">
      <alignment horizontal="center" vertical="center"/>
    </xf>
    <xf numFmtId="0" fontId="3" fillId="0" borderId="18" xfId="2" applyBorder="1" applyAlignment="1">
      <alignment horizontal="center"/>
    </xf>
    <xf numFmtId="2" fontId="3" fillId="0" borderId="18" xfId="2" applyNumberFormat="1" applyBorder="1" applyAlignment="1">
      <alignment horizontal="center"/>
    </xf>
    <xf numFmtId="0" fontId="3" fillId="6" borderId="18" xfId="2" applyFill="1" applyBorder="1" applyAlignment="1">
      <alignment horizontal="center"/>
    </xf>
    <xf numFmtId="166" fontId="3" fillId="0" borderId="18" xfId="2" applyNumberFormat="1" applyBorder="1" applyAlignment="1">
      <alignment horizontal="center"/>
    </xf>
    <xf numFmtId="166" fontId="3" fillId="0" borderId="18" xfId="2" applyNumberFormat="1" applyBorder="1" applyAlignment="1">
      <alignment horizontal="center" vertical="center"/>
    </xf>
    <xf numFmtId="0" fontId="3" fillId="6" borderId="19" xfId="2" applyFill="1" applyBorder="1" applyAlignment="1">
      <alignment horizontal="center"/>
    </xf>
    <xf numFmtId="0" fontId="12" fillId="0" borderId="28" xfId="2" applyFont="1" applyBorder="1" applyAlignment="1">
      <alignment vertical="center"/>
    </xf>
    <xf numFmtId="0" fontId="12" fillId="0" borderId="0" xfId="2" applyFont="1" applyAlignment="1">
      <alignment vertical="center"/>
    </xf>
    <xf numFmtId="0" fontId="3" fillId="0" borderId="0" xfId="2" applyAlignment="1">
      <alignment vertical="center"/>
    </xf>
    <xf numFmtId="2" fontId="12" fillId="0" borderId="0" xfId="2" applyNumberFormat="1" applyFont="1" applyAlignment="1">
      <alignment horizontal="center"/>
    </xf>
    <xf numFmtId="165" fontId="12" fillId="0" borderId="0" xfId="2" applyNumberFormat="1" applyFont="1" applyAlignment="1">
      <alignment horizontal="center"/>
    </xf>
    <xf numFmtId="0" fontId="3" fillId="0" borderId="28" xfId="2" applyBorder="1" applyAlignment="1">
      <alignment horizontal="center"/>
    </xf>
    <xf numFmtId="165" fontId="0" fillId="0" borderId="36" xfId="4" applyNumberFormat="1" applyFont="1" applyFill="1" applyBorder="1" applyAlignment="1">
      <alignment horizontal="center"/>
    </xf>
    <xf numFmtId="3" fontId="3" fillId="6" borderId="22" xfId="2" applyNumberFormat="1" applyFill="1" applyBorder="1" applyAlignment="1">
      <alignment horizontal="center"/>
    </xf>
    <xf numFmtId="166" fontId="2" fillId="0" borderId="10" xfId="2" applyNumberFormat="1" applyFont="1" applyBorder="1" applyAlignment="1">
      <alignment horizontal="center" vertical="center"/>
    </xf>
    <xf numFmtId="0" fontId="3" fillId="6" borderId="18" xfId="2" applyFill="1" applyBorder="1" applyAlignment="1">
      <alignment horizontal="center" vertical="center"/>
    </xf>
    <xf numFmtId="166" fontId="2" fillId="0" borderId="18" xfId="2" applyNumberFormat="1" applyFont="1" applyBorder="1" applyAlignment="1">
      <alignment horizontal="center" vertical="center"/>
    </xf>
    <xf numFmtId="0" fontId="3" fillId="0" borderId="29" xfId="2" applyBorder="1" applyAlignment="1">
      <alignment horizontal="center"/>
    </xf>
    <xf numFmtId="166" fontId="2" fillId="0" borderId="21" xfId="2" applyNumberFormat="1" applyFont="1" applyBorder="1" applyAlignment="1">
      <alignment horizontal="center"/>
    </xf>
    <xf numFmtId="166" fontId="2" fillId="0" borderId="10" xfId="2" applyNumberFormat="1" applyFont="1" applyBorder="1" applyAlignment="1">
      <alignment horizontal="center"/>
    </xf>
    <xf numFmtId="0" fontId="12" fillId="0" borderId="32" xfId="2" applyFont="1" applyBorder="1" applyAlignment="1">
      <alignment vertical="center"/>
    </xf>
    <xf numFmtId="0" fontId="12" fillId="0" borderId="37" xfId="2" applyFont="1" applyBorder="1" applyAlignment="1">
      <alignment vertical="center"/>
    </xf>
    <xf numFmtId="0" fontId="3" fillId="0" borderId="37" xfId="2" applyBorder="1" applyAlignment="1">
      <alignment vertical="center"/>
    </xf>
    <xf numFmtId="2" fontId="12" fillId="0" borderId="37" xfId="2" applyNumberFormat="1" applyFont="1" applyBorder="1" applyAlignment="1">
      <alignment horizontal="center"/>
    </xf>
    <xf numFmtId="0" fontId="3" fillId="0" borderId="37" xfId="2" applyBorder="1" applyAlignment="1">
      <alignment horizontal="center"/>
    </xf>
    <xf numFmtId="165" fontId="12" fillId="0" borderId="37" xfId="2" applyNumberFormat="1" applyFont="1" applyBorder="1" applyAlignment="1">
      <alignment horizontal="center"/>
    </xf>
    <xf numFmtId="0" fontId="3" fillId="0" borderId="32" xfId="2" applyBorder="1" applyAlignment="1">
      <alignment horizontal="center"/>
    </xf>
    <xf numFmtId="0" fontId="3" fillId="0" borderId="33" xfId="2" applyBorder="1" applyAlignment="1">
      <alignment horizontal="center"/>
    </xf>
    <xf numFmtId="0" fontId="13" fillId="0" borderId="0" xfId="2" applyFont="1" applyAlignment="1">
      <alignment horizontal="center"/>
    </xf>
    <xf numFmtId="0" fontId="3" fillId="0" borderId="5" xfId="2" applyBorder="1" applyAlignment="1">
      <alignment horizontal="center" vertical="center"/>
    </xf>
    <xf numFmtId="0" fontId="3" fillId="0" borderId="6" xfId="2" applyBorder="1" applyAlignment="1">
      <alignment horizontal="center" vertical="center"/>
    </xf>
    <xf numFmtId="0" fontId="3" fillId="0" borderId="6" xfId="2" applyBorder="1" applyAlignment="1">
      <alignment horizontal="center"/>
    </xf>
    <xf numFmtId="4" fontId="3" fillId="6" borderId="6" xfId="2" applyNumberFormat="1" applyFill="1" applyBorder="1" applyAlignment="1">
      <alignment horizontal="center"/>
    </xf>
    <xf numFmtId="166" fontId="3" fillId="0" borderId="6" xfId="2" applyNumberFormat="1" applyBorder="1" applyAlignment="1">
      <alignment horizontal="center"/>
    </xf>
    <xf numFmtId="166" fontId="2" fillId="0" borderId="6" xfId="1" applyNumberFormat="1" applyFont="1" applyBorder="1" applyAlignment="1">
      <alignment horizontal="center"/>
    </xf>
    <xf numFmtId="165" fontId="2" fillId="0" borderId="6" xfId="1" applyNumberFormat="1" applyFont="1" applyFill="1" applyBorder="1" applyAlignment="1">
      <alignment horizontal="center" vertical="center"/>
    </xf>
    <xf numFmtId="3" fontId="3" fillId="6" borderId="7" xfId="2" applyNumberFormat="1" applyFill="1" applyBorder="1" applyAlignment="1">
      <alignment horizontal="center"/>
    </xf>
    <xf numFmtId="10" fontId="3" fillId="0" borderId="0" xfId="2" applyNumberFormat="1" applyAlignment="1">
      <alignment horizontal="center"/>
    </xf>
    <xf numFmtId="165" fontId="2" fillId="0" borderId="10" xfId="1" applyNumberFormat="1" applyFont="1" applyFill="1" applyBorder="1" applyAlignment="1">
      <alignment horizontal="center"/>
    </xf>
    <xf numFmtId="0" fontId="2" fillId="6" borderId="10" xfId="2" applyFont="1" applyFill="1" applyBorder="1" applyAlignment="1">
      <alignment horizontal="center"/>
    </xf>
    <xf numFmtId="0" fontId="6" fillId="7" borderId="9" xfId="2" applyFont="1" applyFill="1" applyBorder="1" applyAlignment="1">
      <alignment horizontal="center" vertical="center"/>
    </xf>
    <xf numFmtId="0" fontId="6" fillId="7" borderId="10" xfId="2" applyFont="1" applyFill="1" applyBorder="1" applyAlignment="1">
      <alignment horizontal="center" vertical="center"/>
    </xf>
    <xf numFmtId="0" fontId="6" fillId="7" borderId="10" xfId="2" applyFont="1" applyFill="1" applyBorder="1" applyAlignment="1">
      <alignment horizontal="center"/>
    </xf>
    <xf numFmtId="0" fontId="6" fillId="6" borderId="10" xfId="2" applyFont="1" applyFill="1" applyBorder="1" applyAlignment="1">
      <alignment horizontal="center"/>
    </xf>
    <xf numFmtId="166" fontId="6" fillId="7" borderId="10" xfId="2" applyNumberFormat="1" applyFont="1" applyFill="1" applyBorder="1" applyAlignment="1">
      <alignment horizontal="center"/>
    </xf>
    <xf numFmtId="166" fontId="6" fillId="7" borderId="10" xfId="2" applyNumberFormat="1" applyFont="1" applyFill="1" applyBorder="1" applyAlignment="1">
      <alignment horizontal="center" vertical="center"/>
    </xf>
    <xf numFmtId="166" fontId="2" fillId="7" borderId="10" xfId="2" applyNumberFormat="1" applyFont="1" applyFill="1" applyBorder="1" applyAlignment="1">
      <alignment horizontal="center"/>
    </xf>
    <xf numFmtId="165" fontId="6" fillId="7" borderId="10" xfId="1" applyNumberFormat="1" applyFont="1" applyFill="1" applyBorder="1" applyAlignment="1">
      <alignment horizontal="center"/>
    </xf>
    <xf numFmtId="0" fontId="6" fillId="6" borderId="27" xfId="2" applyFont="1" applyFill="1" applyBorder="1" applyAlignment="1">
      <alignment horizontal="center"/>
    </xf>
    <xf numFmtId="10" fontId="3" fillId="7" borderId="0" xfId="2" applyNumberFormat="1" applyFill="1" applyAlignment="1">
      <alignment horizontal="center"/>
    </xf>
    <xf numFmtId="0" fontId="3" fillId="0" borderId="38" xfId="2" applyBorder="1" applyAlignment="1">
      <alignment horizontal="center" vertical="center"/>
    </xf>
    <xf numFmtId="0" fontId="3" fillId="0" borderId="39" xfId="2" applyBorder="1" applyAlignment="1">
      <alignment horizontal="center" vertical="center"/>
    </xf>
    <xf numFmtId="0" fontId="3" fillId="0" borderId="39" xfId="2" applyBorder="1" applyAlignment="1">
      <alignment horizontal="center"/>
    </xf>
    <xf numFmtId="0" fontId="3" fillId="6" borderId="39" xfId="2" applyFill="1" applyBorder="1" applyAlignment="1">
      <alignment horizontal="center" vertical="center"/>
    </xf>
    <xf numFmtId="166" fontId="3" fillId="0" borderId="39" xfId="2" applyNumberFormat="1" applyBorder="1" applyAlignment="1">
      <alignment horizontal="center"/>
    </xf>
    <xf numFmtId="166" fontId="3" fillId="0" borderId="39" xfId="2" applyNumberFormat="1" applyBorder="1" applyAlignment="1">
      <alignment horizontal="center" vertical="center"/>
    </xf>
    <xf numFmtId="166" fontId="2" fillId="0" borderId="39" xfId="2" applyNumberFormat="1" applyFont="1" applyBorder="1" applyAlignment="1">
      <alignment horizontal="center"/>
    </xf>
    <xf numFmtId="165" fontId="2" fillId="0" borderId="39" xfId="1" applyNumberFormat="1" applyFont="1" applyFill="1" applyBorder="1" applyAlignment="1">
      <alignment horizontal="center"/>
    </xf>
    <xf numFmtId="0" fontId="3" fillId="6" borderId="11" xfId="2" applyFill="1" applyBorder="1" applyAlignment="1">
      <alignment horizontal="center"/>
    </xf>
    <xf numFmtId="0" fontId="12" fillId="0" borderId="12" xfId="2" applyFont="1" applyBorder="1" applyAlignment="1">
      <alignment vertical="center"/>
    </xf>
    <xf numFmtId="0" fontId="12" fillId="0" borderId="40" xfId="2" applyFont="1" applyBorder="1" applyAlignment="1">
      <alignment vertical="center"/>
    </xf>
    <xf numFmtId="2" fontId="12" fillId="0" borderId="40" xfId="2" applyNumberFormat="1" applyFont="1" applyBorder="1" applyAlignment="1">
      <alignment horizontal="center"/>
    </xf>
    <xf numFmtId="0" fontId="3" fillId="0" borderId="40" xfId="2" applyBorder="1" applyAlignment="1">
      <alignment horizontal="center"/>
    </xf>
    <xf numFmtId="165" fontId="12" fillId="0" borderId="40" xfId="2" applyNumberFormat="1" applyFont="1" applyBorder="1" applyAlignment="1">
      <alignment horizontal="center"/>
    </xf>
    <xf numFmtId="0" fontId="3" fillId="0" borderId="12" xfId="2" applyBorder="1" applyAlignment="1">
      <alignment horizontal="center"/>
    </xf>
    <xf numFmtId="0" fontId="3" fillId="0" borderId="13" xfId="2" applyBorder="1" applyAlignment="1">
      <alignment horizontal="center"/>
    </xf>
    <xf numFmtId="0" fontId="11" fillId="0" borderId="44" xfId="2" applyFont="1" applyBorder="1" applyAlignment="1">
      <alignment horizontal="center"/>
    </xf>
    <xf numFmtId="0" fontId="11" fillId="0" borderId="41" xfId="2" applyFont="1" applyBorder="1" applyAlignment="1">
      <alignment horizontal="center"/>
    </xf>
    <xf numFmtId="0" fontId="11" fillId="0" borderId="42" xfId="2" applyFont="1" applyBorder="1" applyAlignment="1">
      <alignment horizontal="center"/>
    </xf>
    <xf numFmtId="0" fontId="14" fillId="0" borderId="43" xfId="2" applyFont="1" applyBorder="1" applyAlignment="1">
      <alignment horizontal="center"/>
    </xf>
    <xf numFmtId="0" fontId="11" fillId="0" borderId="0" xfId="2" applyFont="1" applyAlignment="1">
      <alignment horizontal="center"/>
    </xf>
    <xf numFmtId="165" fontId="3" fillId="0" borderId="0" xfId="2" applyNumberFormat="1" applyAlignment="1">
      <alignment horizontal="center"/>
    </xf>
    <xf numFmtId="167" fontId="11" fillId="0" borderId="44" xfId="2" applyNumberFormat="1" applyFont="1" applyBorder="1" applyAlignment="1">
      <alignment horizontal="center"/>
    </xf>
    <xf numFmtId="165" fontId="11" fillId="0" borderId="0" xfId="2" applyNumberFormat="1" applyFont="1" applyAlignment="1">
      <alignment horizontal="center"/>
    </xf>
    <xf numFmtId="0" fontId="16" fillId="0" borderId="0" xfId="2" applyFont="1" applyAlignment="1">
      <alignment horizontal="center" vertical="center" wrapText="1"/>
    </xf>
    <xf numFmtId="0" fontId="18" fillId="0" borderId="0" xfId="2" applyFont="1" applyAlignment="1">
      <alignment horizontal="center" vertical="center"/>
    </xf>
    <xf numFmtId="0" fontId="2" fillId="0" borderId="0" xfId="8"/>
    <xf numFmtId="0" fontId="6" fillId="8" borderId="22" xfId="8" applyFont="1" applyFill="1" applyBorder="1" applyAlignment="1">
      <alignment horizontal="center" vertical="center"/>
    </xf>
    <xf numFmtId="0" fontId="6" fillId="8" borderId="21" xfId="8" applyFont="1" applyFill="1" applyBorder="1" applyAlignment="1">
      <alignment horizontal="center" vertical="center"/>
    </xf>
    <xf numFmtId="0" fontId="6" fillId="8" borderId="21" xfId="8" applyFont="1" applyFill="1" applyBorder="1" applyAlignment="1">
      <alignment horizontal="center" vertical="center" wrapText="1"/>
    </xf>
    <xf numFmtId="0" fontId="6" fillId="8" borderId="45" xfId="8" applyFont="1" applyFill="1" applyBorder="1" applyAlignment="1">
      <alignment horizontal="center" vertical="center"/>
    </xf>
    <xf numFmtId="0" fontId="6" fillId="8" borderId="20" xfId="8" applyFont="1" applyFill="1" applyBorder="1" applyAlignment="1">
      <alignment horizontal="center" vertical="center"/>
    </xf>
    <xf numFmtId="0" fontId="2" fillId="0" borderId="27" xfId="8" applyBorder="1" applyAlignment="1">
      <alignment horizontal="center" vertical="center"/>
    </xf>
    <xf numFmtId="2" fontId="2" fillId="0" borderId="46" xfId="8" applyNumberFormat="1" applyBorder="1" applyAlignment="1">
      <alignment horizontal="center" vertical="center"/>
    </xf>
    <xf numFmtId="2" fontId="2" fillId="0" borderId="47" xfId="8" applyNumberFormat="1" applyBorder="1" applyAlignment="1">
      <alignment horizontal="center" vertical="center"/>
    </xf>
    <xf numFmtId="2" fontId="2" fillId="0" borderId="9" xfId="8" applyNumberFormat="1" applyBorder="1" applyAlignment="1">
      <alignment horizontal="center" vertical="center"/>
    </xf>
    <xf numFmtId="2" fontId="2" fillId="0" borderId="10" xfId="8" applyNumberFormat="1" applyBorder="1" applyAlignment="1">
      <alignment horizontal="center" vertical="center"/>
    </xf>
    <xf numFmtId="2" fontId="2" fillId="0" borderId="48" xfId="8" applyNumberFormat="1" applyBorder="1" applyAlignment="1">
      <alignment horizontal="center" vertical="center"/>
    </xf>
    <xf numFmtId="0" fontId="2" fillId="5" borderId="9" xfId="8" applyFill="1" applyBorder="1" applyAlignment="1">
      <alignment horizontal="center" vertical="center"/>
    </xf>
    <xf numFmtId="0" fontId="2" fillId="5" borderId="10" xfId="8" applyFill="1" applyBorder="1" applyAlignment="1">
      <alignment horizontal="center" vertical="center"/>
    </xf>
    <xf numFmtId="0" fontId="2" fillId="0" borderId="10" xfId="8" applyBorder="1" applyAlignment="1">
      <alignment horizontal="center" vertical="center"/>
    </xf>
    <xf numFmtId="0" fontId="2" fillId="0" borderId="9" xfId="8" applyBorder="1" applyAlignment="1">
      <alignment horizontal="center" vertical="center"/>
    </xf>
    <xf numFmtId="0" fontId="2" fillId="0" borderId="0" xfId="8" applyAlignment="1">
      <alignment horizontal="center" vertical="center"/>
    </xf>
    <xf numFmtId="2" fontId="21" fillId="0" borderId="10" xfId="8" applyNumberFormat="1" applyFont="1" applyBorder="1" applyAlignment="1">
      <alignment horizontal="center" vertical="center"/>
    </xf>
    <xf numFmtId="0" fontId="20" fillId="0" borderId="19" xfId="8" applyFont="1" applyBorder="1" applyAlignment="1">
      <alignment horizontal="center" vertical="center"/>
    </xf>
    <xf numFmtId="0" fontId="20" fillId="0" borderId="17" xfId="8" applyFont="1" applyBorder="1" applyAlignment="1">
      <alignment horizontal="center" vertical="center"/>
    </xf>
    <xf numFmtId="0" fontId="20" fillId="0" borderId="18" xfId="8" applyFont="1" applyBorder="1" applyAlignment="1">
      <alignment horizontal="center" vertical="center"/>
    </xf>
    <xf numFmtId="0" fontId="2" fillId="0" borderId="0" xfId="8" applyAlignment="1">
      <alignment horizontal="center"/>
    </xf>
    <xf numFmtId="0" fontId="22" fillId="9" borderId="12" xfId="8" applyFont="1" applyFill="1" applyBorder="1" applyAlignment="1">
      <alignment horizontal="center"/>
    </xf>
    <xf numFmtId="9" fontId="22" fillId="9" borderId="13" xfId="9" applyFont="1" applyFill="1" applyBorder="1" applyAlignment="1">
      <alignment horizontal="center"/>
    </xf>
    <xf numFmtId="0" fontId="6" fillId="0" borderId="0" xfId="8" applyFont="1"/>
    <xf numFmtId="0" fontId="2" fillId="0" borderId="0" xfId="10"/>
    <xf numFmtId="0" fontId="17" fillId="5" borderId="10" xfId="10" applyFont="1" applyFill="1" applyBorder="1" applyAlignment="1">
      <alignment horizontal="center"/>
    </xf>
    <xf numFmtId="0" fontId="23" fillId="0" borderId="10" xfId="10" applyFont="1" applyBorder="1" applyAlignment="1">
      <alignment horizontal="center" vertical="center"/>
    </xf>
    <xf numFmtId="0" fontId="24" fillId="0" borderId="44" xfId="10" applyFont="1" applyBorder="1" applyAlignment="1">
      <alignment horizontal="center" vertical="center" wrapText="1"/>
    </xf>
    <xf numFmtId="0" fontId="24" fillId="0" borderId="44" xfId="10" applyFont="1" applyBorder="1" applyAlignment="1">
      <alignment horizontal="right" vertical="center" wrapText="1"/>
    </xf>
    <xf numFmtId="0" fontId="23" fillId="0" borderId="39" xfId="10" applyFont="1" applyBorder="1" applyAlignment="1">
      <alignment horizontal="center" vertical="center"/>
    </xf>
    <xf numFmtId="0" fontId="24" fillId="0" borderId="49" xfId="10" applyFont="1" applyBorder="1" applyAlignment="1">
      <alignment horizontal="center" vertical="center" wrapText="1"/>
    </xf>
    <xf numFmtId="0" fontId="24" fillId="0" borderId="49" xfId="10" applyFont="1" applyBorder="1" applyAlignment="1">
      <alignment horizontal="right" vertical="center" wrapText="1"/>
    </xf>
    <xf numFmtId="0" fontId="24" fillId="0" borderId="10" xfId="10" applyFont="1" applyBorder="1" applyAlignment="1">
      <alignment horizontal="center" vertical="center" wrapText="1"/>
    </xf>
    <xf numFmtId="0" fontId="24" fillId="0" borderId="10" xfId="10" applyFont="1" applyBorder="1" applyAlignment="1">
      <alignment horizontal="right" vertical="center" wrapText="1"/>
    </xf>
    <xf numFmtId="0" fontId="2" fillId="0" borderId="0" xfId="10" applyAlignment="1">
      <alignment horizontal="center"/>
    </xf>
    <xf numFmtId="2" fontId="3" fillId="0" borderId="21" xfId="2" applyNumberFormat="1" applyBorder="1" applyAlignment="1">
      <alignment horizontal="center"/>
    </xf>
    <xf numFmtId="9" fontId="11" fillId="0" borderId="44" xfId="2" applyNumberFormat="1" applyFont="1" applyBorder="1" applyAlignment="1">
      <alignment horizontal="center"/>
    </xf>
    <xf numFmtId="9" fontId="3" fillId="4" borderId="8" xfId="2" applyNumberFormat="1" applyFill="1" applyBorder="1" applyAlignment="1">
      <alignment horizontal="center"/>
    </xf>
    <xf numFmtId="0" fontId="11" fillId="0" borderId="41" xfId="2" applyFont="1" applyBorder="1" applyAlignment="1">
      <alignment horizontal="center" vertical="center"/>
    </xf>
    <xf numFmtId="0" fontId="11" fillId="0" borderId="42" xfId="2" applyFont="1" applyBorder="1" applyAlignment="1">
      <alignment horizontal="center" vertical="center"/>
    </xf>
    <xf numFmtId="0" fontId="11" fillId="0" borderId="43" xfId="2" applyFont="1" applyBorder="1" applyAlignment="1">
      <alignment horizontal="center" vertical="center"/>
    </xf>
    <xf numFmtId="0" fontId="4" fillId="0" borderId="0" xfId="2" applyFont="1" applyAlignment="1">
      <alignment horizontal="center" vertical="center"/>
    </xf>
    <xf numFmtId="0" fontId="7" fillId="0" borderId="0" xfId="2" applyFont="1" applyAlignment="1">
      <alignment horizontal="center" vertical="top"/>
    </xf>
    <xf numFmtId="0" fontId="6" fillId="0" borderId="0" xfId="2" applyFont="1" applyAlignment="1">
      <alignment horizontal="center" vertical="top"/>
    </xf>
    <xf numFmtId="165" fontId="6" fillId="3" borderId="11" xfId="4" applyNumberFormat="1" applyFont="1" applyFill="1" applyBorder="1" applyAlignment="1">
      <alignment horizontal="center" vertical="center"/>
    </xf>
    <xf numFmtId="165" fontId="6" fillId="3" borderId="15" xfId="4" applyNumberFormat="1" applyFont="1" applyFill="1" applyBorder="1" applyAlignment="1">
      <alignment horizontal="center" vertical="center"/>
    </xf>
    <xf numFmtId="165" fontId="6" fillId="3" borderId="7" xfId="4" applyNumberFormat="1" applyFont="1" applyFill="1" applyBorder="1" applyAlignment="1">
      <alignment horizontal="center" vertical="center"/>
    </xf>
    <xf numFmtId="0" fontId="6" fillId="4" borderId="12" xfId="2" applyFont="1" applyFill="1" applyBorder="1" applyAlignment="1">
      <alignment horizontal="center"/>
    </xf>
    <xf numFmtId="0" fontId="6" fillId="4" borderId="13" xfId="2" applyFont="1" applyFill="1" applyBorder="1" applyAlignment="1">
      <alignment horizontal="center"/>
    </xf>
    <xf numFmtId="0" fontId="6" fillId="0" borderId="0" xfId="2" applyFont="1" applyAlignment="1">
      <alignment horizontal="center" wrapText="1"/>
    </xf>
    <xf numFmtId="0" fontId="6" fillId="0" borderId="0" xfId="2" applyFont="1" applyAlignment="1">
      <alignment horizontal="center"/>
    </xf>
    <xf numFmtId="0" fontId="12" fillId="0" borderId="0" xfId="2" applyFont="1" applyAlignment="1">
      <alignment horizontal="center"/>
    </xf>
    <xf numFmtId="0" fontId="3" fillId="0" borderId="0" xfId="2" applyAlignment="1">
      <alignment horizontal="center"/>
    </xf>
    <xf numFmtId="0" fontId="12" fillId="0" borderId="37" xfId="2" applyFont="1" applyBorder="1" applyAlignment="1">
      <alignment horizontal="center"/>
    </xf>
    <xf numFmtId="0" fontId="3" fillId="0" borderId="37" xfId="2" applyBorder="1" applyAlignment="1">
      <alignment horizontal="center"/>
    </xf>
    <xf numFmtId="0" fontId="12" fillId="0" borderId="40" xfId="2" applyFont="1" applyBorder="1" applyAlignment="1">
      <alignment horizontal="center"/>
    </xf>
    <xf numFmtId="0" fontId="7" fillId="0" borderId="0" xfId="2" applyFont="1" applyAlignment="1">
      <alignment horizontal="center" vertical="center" wrapText="1" readingOrder="2"/>
    </xf>
    <xf numFmtId="0" fontId="15" fillId="0" borderId="0" xfId="2" applyFont="1" applyAlignment="1">
      <alignment horizontal="center" vertical="center" wrapText="1" readingOrder="2"/>
    </xf>
    <xf numFmtId="0" fontId="16" fillId="0" borderId="0" xfId="2" applyFont="1" applyAlignment="1">
      <alignment horizontal="center" vertical="center" wrapText="1"/>
    </xf>
    <xf numFmtId="0" fontId="19" fillId="0" borderId="0" xfId="2" applyFont="1" applyAlignment="1">
      <alignment horizontal="center" vertical="center" wrapText="1"/>
    </xf>
    <xf numFmtId="0" fontId="16" fillId="0" borderId="0" xfId="2" applyFont="1" applyAlignment="1">
      <alignment horizontal="center"/>
    </xf>
    <xf numFmtId="0" fontId="19" fillId="0" borderId="0" xfId="2" applyFont="1" applyAlignment="1">
      <alignment horizontal="center" wrapText="1"/>
    </xf>
    <xf numFmtId="0" fontId="20" fillId="5" borderId="0" xfId="8" applyFont="1" applyFill="1" applyAlignment="1">
      <alignment horizontal="center"/>
    </xf>
    <xf numFmtId="0" fontId="9" fillId="0" borderId="0" xfId="10" applyFont="1" applyAlignment="1">
      <alignment horizontal="center"/>
    </xf>
  </cellXfs>
  <cellStyles count="13">
    <cellStyle name="Currency 2" xfId="3" xr:uid="{B83A38E7-FF64-4BD1-BE42-D5E3F18CCEAB}"/>
    <cellStyle name="Normal" xfId="0" builtinId="0"/>
    <cellStyle name="Normal 2" xfId="6" xr:uid="{A53CDDB0-64D0-4C62-A8FE-BE525C4203FF}"/>
    <cellStyle name="Normal 2 2" xfId="11" xr:uid="{EB527A22-D3B3-4B6C-81DC-C769E47E669E}"/>
    <cellStyle name="Normal 2 3" xfId="12" xr:uid="{1ED7BAE6-5D4B-44AF-B40C-1EFF5A4AAF5E}"/>
    <cellStyle name="Normal 3" xfId="10" xr:uid="{F76F47C3-0E10-4602-8609-428A1C4DE256}"/>
    <cellStyle name="Normal 4" xfId="2" xr:uid="{36019514-9838-43BB-9A8D-6DA2CC86487F}"/>
    <cellStyle name="Normal 5" xfId="8" xr:uid="{928D3E4D-CE44-403E-A31D-0FC04224CC62}"/>
    <cellStyle name="Percent" xfId="1" builtinId="5"/>
    <cellStyle name="Percent 2" xfId="7" xr:uid="{9C1E30AF-9FB9-41DE-9500-9B36B0720456}"/>
    <cellStyle name="Percent 3" xfId="4" xr:uid="{8EE27341-7EBC-4B08-BDF4-8DCD3CC8116A}"/>
    <cellStyle name="Percent 4" xfId="9" xr:uid="{8C3C21FD-C269-490F-8209-05E8E5E2AD14}"/>
    <cellStyle name="הערה 2" xfId="5" xr:uid="{E29AA0BA-62A9-44CA-8C6D-0FB9AA20DB5C}"/>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1836</xdr:col>
      <xdr:colOff>600075</xdr:colOff>
      <xdr:row>0</xdr:row>
      <xdr:rowOff>85725</xdr:rowOff>
    </xdr:from>
    <xdr:to>
      <xdr:col>1841</xdr:col>
      <xdr:colOff>304800</xdr:colOff>
      <xdr:row>10</xdr:row>
      <xdr:rowOff>19050</xdr:rowOff>
    </xdr:to>
    <xdr:sp macro="" textlink="">
      <xdr:nvSpPr>
        <xdr:cNvPr id="3" name="Line Callout 2 1">
          <a:extLst>
            <a:ext uri="{FF2B5EF4-FFF2-40B4-BE49-F238E27FC236}">
              <a16:creationId xmlns:a16="http://schemas.microsoft.com/office/drawing/2014/main" id="{67322A63-7BD4-4C60-923A-34F412E88895}"/>
            </a:ext>
          </a:extLst>
        </xdr:cNvPr>
        <xdr:cNvSpPr/>
      </xdr:nvSpPr>
      <xdr:spPr>
        <a:xfrm>
          <a:off x="8726585925" y="85725"/>
          <a:ext cx="2705100" cy="3333750"/>
        </a:xfrm>
        <a:prstGeom prst="borderCallout2">
          <a:avLst>
            <a:gd name="adj1" fmla="val 46243"/>
            <a:gd name="adj2" fmla="val 100156"/>
            <a:gd name="adj3" fmla="val 54809"/>
            <a:gd name="adj4" fmla="val 180393"/>
            <a:gd name="adj5" fmla="val 75184"/>
            <a:gd name="adj6" fmla="val 191053"/>
          </a:avLst>
        </a:prstGeom>
        <a:solidFill>
          <a:srgbClr val="FFFF00"/>
        </a:solidFill>
        <a:ln w="50800" cmpd="dbl">
          <a:gradFill>
            <a:gsLst>
              <a:gs pos="0">
                <a:srgbClr val="000082"/>
              </a:gs>
              <a:gs pos="13000">
                <a:srgbClr val="0047FF"/>
              </a:gs>
              <a:gs pos="28000">
                <a:srgbClr val="000082"/>
              </a:gs>
              <a:gs pos="42999">
                <a:srgbClr val="0047FF"/>
              </a:gs>
              <a:gs pos="58000">
                <a:srgbClr val="000082"/>
              </a:gs>
              <a:gs pos="72000">
                <a:srgbClr val="0047FF"/>
              </a:gs>
              <a:gs pos="87000">
                <a:srgbClr val="000082"/>
              </a:gs>
              <a:gs pos="100000">
                <a:srgbClr val="0047FF"/>
              </a:gs>
            </a:gsLst>
            <a:lin ang="5400000" scaled="0"/>
          </a:gradFill>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he-IL" sz="1100" b="1" u="sng">
              <a:solidFill>
                <a:srgbClr val="002060"/>
              </a:solidFill>
            </a:rPr>
            <a:t>לדוגמא: נוסחה</a:t>
          </a:r>
          <a:r>
            <a:rPr lang="he-IL" sz="1100" b="1" u="sng" baseline="0">
              <a:solidFill>
                <a:srgbClr val="002060"/>
              </a:solidFill>
            </a:rPr>
            <a:t> לחישוב מחיר דירה לפי מכרז מחיר למשתכן</a:t>
          </a:r>
          <a:r>
            <a:rPr lang="he-IL" sz="1100" b="1" u="sng">
              <a:solidFill>
                <a:srgbClr val="002060"/>
              </a:solidFill>
            </a:rPr>
            <a:t>:</a:t>
          </a:r>
        </a:p>
        <a:p>
          <a:pPr algn="ctr" rtl="1"/>
          <a:endParaRPr lang="he-IL" sz="1100" b="1" u="sng">
            <a:solidFill>
              <a:srgbClr val="002060"/>
            </a:solidFill>
          </a:endParaRPr>
        </a:p>
        <a:p>
          <a:pPr algn="ctr" rtl="1"/>
          <a:r>
            <a:rPr lang="he-IL" sz="1100">
              <a:solidFill>
                <a:schemeClr val="tx1"/>
              </a:solidFill>
            </a:rPr>
            <a:t>שטח דירה במטרים - מוכפל במחיר למטר כולל מע"מ בש"ח +</a:t>
          </a:r>
        </a:p>
        <a:p>
          <a:pPr algn="ctr" rtl="1"/>
          <a:r>
            <a:rPr lang="he-IL" sz="1100">
              <a:solidFill>
                <a:schemeClr val="tx1"/>
              </a:solidFill>
            </a:rPr>
            <a:t>שטח מרפסת שמש ו/או שטח גינה - </a:t>
          </a:r>
          <a:r>
            <a:rPr lang="he-IL" sz="1100" baseline="0">
              <a:solidFill>
                <a:schemeClr val="tx1"/>
              </a:solidFill>
            </a:rPr>
            <a:t>מוכפל ב- </a:t>
          </a:r>
          <a:r>
            <a:rPr lang="en-US" sz="1100" baseline="0">
              <a:solidFill>
                <a:schemeClr val="tx1"/>
              </a:solidFill>
            </a:rPr>
            <a:t>X</a:t>
          </a:r>
          <a:r>
            <a:rPr lang="he-IL" sz="1100" baseline="0">
              <a:solidFill>
                <a:schemeClr val="tx1"/>
              </a:solidFill>
            </a:rPr>
            <a:t>% מחיר למטר </a:t>
          </a:r>
          <a:r>
            <a:rPr lang="he-IL" sz="1100">
              <a:solidFill>
                <a:schemeClr val="tx1"/>
              </a:solidFill>
              <a:effectLst/>
              <a:latin typeface="+mn-lt"/>
              <a:ea typeface="+mn-ea"/>
              <a:cs typeface="+mn-cs"/>
            </a:rPr>
            <a:t>כולל מע"מ בש"ח </a:t>
          </a:r>
          <a:r>
            <a:rPr lang="he-IL" sz="1100" baseline="0">
              <a:solidFill>
                <a:schemeClr val="tx1"/>
              </a:solidFill>
            </a:rPr>
            <a:t> + </a:t>
          </a:r>
        </a:p>
        <a:p>
          <a:pPr algn="ctr" rtl="1"/>
          <a:r>
            <a:rPr lang="he-IL" sz="1100" baseline="0">
              <a:solidFill>
                <a:schemeClr val="tx1"/>
              </a:solidFill>
            </a:rPr>
            <a:t>שטח מחסן - מוכפל ב- </a:t>
          </a:r>
          <a:r>
            <a:rPr lang="en-US" sz="1100" baseline="0">
              <a:solidFill>
                <a:schemeClr val="tx1"/>
              </a:solidFill>
            </a:rPr>
            <a:t>X</a:t>
          </a:r>
          <a:r>
            <a:rPr lang="he-IL" sz="1100" baseline="0">
              <a:solidFill>
                <a:schemeClr val="tx1"/>
              </a:solidFill>
            </a:rPr>
            <a:t>% מחיר למטר </a:t>
          </a:r>
          <a:r>
            <a:rPr lang="he-IL" sz="1100">
              <a:solidFill>
                <a:schemeClr val="tx1"/>
              </a:solidFill>
              <a:effectLst/>
              <a:latin typeface="+mn-lt"/>
              <a:ea typeface="+mn-ea"/>
              <a:cs typeface="+mn-cs"/>
            </a:rPr>
            <a:t>כולל מע"מ בש"ח </a:t>
          </a:r>
          <a:r>
            <a:rPr lang="he-IL" sz="1100" baseline="0">
              <a:solidFill>
                <a:schemeClr val="tx1"/>
              </a:solidFill>
            </a:rPr>
            <a:t>+</a:t>
          </a:r>
        </a:p>
        <a:p>
          <a:pPr algn="ctr" rtl="1"/>
          <a:r>
            <a:rPr lang="he-IL" sz="1100" baseline="0">
              <a:solidFill>
                <a:schemeClr val="tx1"/>
              </a:solidFill>
            </a:rPr>
            <a:t>מספר חניות - מוכפל ב- </a:t>
          </a:r>
          <a:r>
            <a:rPr lang="en-US" sz="1100" baseline="0">
              <a:solidFill>
                <a:schemeClr val="tx1"/>
              </a:solidFill>
            </a:rPr>
            <a:t>X</a:t>
          </a:r>
          <a:r>
            <a:rPr lang="he-IL" sz="1100" baseline="0">
              <a:solidFill>
                <a:schemeClr val="tx1"/>
              </a:solidFill>
            </a:rPr>
            <a:t>%  מחיר למטר </a:t>
          </a:r>
          <a:r>
            <a:rPr lang="he-IL" sz="1100">
              <a:solidFill>
                <a:schemeClr val="tx1"/>
              </a:solidFill>
              <a:effectLst/>
              <a:latin typeface="+mn-lt"/>
              <a:ea typeface="+mn-ea"/>
              <a:cs typeface="+mn-cs"/>
            </a:rPr>
            <a:t>כולל מע"מ בש"ח </a:t>
          </a:r>
          <a:endParaRPr lang="en-US" sz="1100">
            <a:solidFill>
              <a:schemeClr val="tx1"/>
            </a:solidFill>
            <a:effectLst/>
            <a:latin typeface="+mn-lt"/>
            <a:ea typeface="+mn-ea"/>
            <a:cs typeface="+mn-cs"/>
          </a:endParaRPr>
        </a:p>
        <a:p>
          <a:pPr algn="ctr" rtl="1"/>
          <a:endParaRPr lang="en-US" sz="1100" baseline="0">
            <a:solidFill>
              <a:schemeClr val="tx1"/>
            </a:solidFill>
            <a:effectLst/>
            <a:latin typeface="+mn-lt"/>
            <a:ea typeface="+mn-ea"/>
            <a:cs typeface="+mn-cs"/>
          </a:endParaRPr>
        </a:p>
        <a:p>
          <a:pPr algn="ctr" rtl="1"/>
          <a:r>
            <a:rPr lang="he-IL" sz="1100" b="1" baseline="0">
              <a:solidFill>
                <a:srgbClr val="FF0000"/>
              </a:solidFill>
              <a:effectLst/>
              <a:latin typeface="+mn-lt"/>
              <a:ea typeface="+mn-ea"/>
              <a:cs typeface="+mn-cs"/>
            </a:rPr>
            <a:t>האחוזים יכולים להיות שונים ממכרז למכרז וכמו כן גם שינויים נוספים בתמחורי הדירות כגון מקדמי קומות וכדומה. באחריות הקבלן להוסיף נוסחא לחישוב מחיר הדירה!!!</a:t>
          </a:r>
          <a:endParaRPr lang="he-IL" sz="1100" b="1" baseline="0">
            <a:solidFill>
              <a:srgbClr val="FF0000"/>
            </a:solidFill>
          </a:endParaRPr>
        </a:p>
      </xdr:txBody>
    </xdr:sp>
    <xdr:clientData/>
  </xdr:twoCellAnchor>
  <xdr:twoCellAnchor editAs="oneCell">
    <xdr:from>
      <xdr:col>20</xdr:col>
      <xdr:colOff>696685</xdr:colOff>
      <xdr:row>12</xdr:row>
      <xdr:rowOff>119743</xdr:rowOff>
    </xdr:from>
    <xdr:to>
      <xdr:col>23</xdr:col>
      <xdr:colOff>786295</xdr:colOff>
      <xdr:row>36</xdr:row>
      <xdr:rowOff>147324</xdr:rowOff>
    </xdr:to>
    <xdr:pic>
      <xdr:nvPicPr>
        <xdr:cNvPr id="2" name="תמונה 1">
          <a:extLst>
            <a:ext uri="{FF2B5EF4-FFF2-40B4-BE49-F238E27FC236}">
              <a16:creationId xmlns:a16="http://schemas.microsoft.com/office/drawing/2014/main" id="{A20A1527-5441-547F-9E42-0ACE209EDC4D}"/>
            </a:ext>
          </a:extLst>
        </xdr:cNvPr>
        <xdr:cNvPicPr>
          <a:picLocks noChangeAspect="1"/>
        </xdr:cNvPicPr>
      </xdr:nvPicPr>
      <xdr:blipFill>
        <a:blip xmlns:r="http://schemas.openxmlformats.org/officeDocument/2006/relationships" r:embed="rId1"/>
        <a:stretch>
          <a:fillRect/>
        </a:stretch>
      </xdr:blipFill>
      <xdr:spPr>
        <a:xfrm>
          <a:off x="11221546934" y="3635829"/>
          <a:ext cx="4008467" cy="4229467"/>
        </a:xfrm>
        <a:prstGeom prst="rect">
          <a:avLst/>
        </a:prstGeom>
      </xdr:spPr>
    </xdr:pic>
    <xdr:clientData/>
  </xdr:twoCellAnchor>
  <xdr:twoCellAnchor editAs="oneCell">
    <xdr:from>
      <xdr:col>20</xdr:col>
      <xdr:colOff>870857</xdr:colOff>
      <xdr:row>213</xdr:row>
      <xdr:rowOff>119743</xdr:rowOff>
    </xdr:from>
    <xdr:to>
      <xdr:col>23</xdr:col>
      <xdr:colOff>960467</xdr:colOff>
      <xdr:row>237</xdr:row>
      <xdr:rowOff>147324</xdr:rowOff>
    </xdr:to>
    <xdr:pic>
      <xdr:nvPicPr>
        <xdr:cNvPr id="5" name="תמונה 4">
          <a:extLst>
            <a:ext uri="{FF2B5EF4-FFF2-40B4-BE49-F238E27FC236}">
              <a16:creationId xmlns:a16="http://schemas.microsoft.com/office/drawing/2014/main" id="{FECDF5CC-D14B-48E3-16C8-EA14FF163E74}"/>
            </a:ext>
          </a:extLst>
        </xdr:cNvPr>
        <xdr:cNvPicPr>
          <a:picLocks noChangeAspect="1"/>
        </xdr:cNvPicPr>
      </xdr:nvPicPr>
      <xdr:blipFill>
        <a:blip xmlns:r="http://schemas.openxmlformats.org/officeDocument/2006/relationships" r:embed="rId1"/>
        <a:stretch>
          <a:fillRect/>
        </a:stretch>
      </xdr:blipFill>
      <xdr:spPr>
        <a:xfrm>
          <a:off x="11221372762" y="38720486"/>
          <a:ext cx="4008467" cy="4229467"/>
        </a:xfrm>
        <a:prstGeom prst="rect">
          <a:avLst/>
        </a:prstGeom>
      </xdr:spPr>
    </xdr:pic>
    <xdr:clientData/>
  </xdr:twoCellAnchor>
  <xdr:twoCellAnchor editAs="oneCell">
    <xdr:from>
      <xdr:col>20</xdr:col>
      <xdr:colOff>870857</xdr:colOff>
      <xdr:row>101</xdr:row>
      <xdr:rowOff>119743</xdr:rowOff>
    </xdr:from>
    <xdr:to>
      <xdr:col>23</xdr:col>
      <xdr:colOff>960467</xdr:colOff>
      <xdr:row>125</xdr:row>
      <xdr:rowOff>169096</xdr:rowOff>
    </xdr:to>
    <xdr:pic>
      <xdr:nvPicPr>
        <xdr:cNvPr id="6" name="תמונה 5">
          <a:extLst>
            <a:ext uri="{FF2B5EF4-FFF2-40B4-BE49-F238E27FC236}">
              <a16:creationId xmlns:a16="http://schemas.microsoft.com/office/drawing/2014/main" id="{4159A84D-70BD-46EE-800F-0A10AA581886}"/>
            </a:ext>
          </a:extLst>
        </xdr:cNvPr>
        <xdr:cNvPicPr>
          <a:picLocks noChangeAspect="1"/>
        </xdr:cNvPicPr>
      </xdr:nvPicPr>
      <xdr:blipFill>
        <a:blip xmlns:r="http://schemas.openxmlformats.org/officeDocument/2006/relationships" r:embed="rId1"/>
        <a:stretch>
          <a:fillRect/>
        </a:stretch>
      </xdr:blipFill>
      <xdr:spPr>
        <a:xfrm>
          <a:off x="11221372762" y="19028229"/>
          <a:ext cx="4008467" cy="42294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38100</xdr:colOff>
      <xdr:row>1</xdr:row>
      <xdr:rowOff>19049</xdr:rowOff>
    </xdr:from>
    <xdr:to>
      <xdr:col>18</xdr:col>
      <xdr:colOff>371475</xdr:colOff>
      <xdr:row>6</xdr:row>
      <xdr:rowOff>38100</xdr:rowOff>
    </xdr:to>
    <xdr:sp macro="" textlink="">
      <xdr:nvSpPr>
        <xdr:cNvPr id="2" name="Line Callout 2 1">
          <a:extLst>
            <a:ext uri="{FF2B5EF4-FFF2-40B4-BE49-F238E27FC236}">
              <a16:creationId xmlns:a16="http://schemas.microsoft.com/office/drawing/2014/main" id="{469C9A7E-8FA9-4BFA-82CA-F68E90112E95}"/>
            </a:ext>
          </a:extLst>
        </xdr:cNvPr>
        <xdr:cNvSpPr/>
      </xdr:nvSpPr>
      <xdr:spPr>
        <a:xfrm>
          <a:off x="9820455975" y="209549"/>
          <a:ext cx="2733675" cy="1019176"/>
        </a:xfrm>
        <a:prstGeom prst="borderCallout2">
          <a:avLst>
            <a:gd name="adj1" fmla="val 46243"/>
            <a:gd name="adj2" fmla="val 100156"/>
            <a:gd name="adj3" fmla="val -896"/>
            <a:gd name="adj4" fmla="val 183127"/>
            <a:gd name="adj5" fmla="val 112850"/>
            <a:gd name="adj6" fmla="val 257881"/>
          </a:avLst>
        </a:prstGeom>
        <a:solidFill>
          <a:srgbClr val="FFFF00"/>
        </a:solidFill>
        <a:ln w="50800" cmpd="dbl">
          <a:gradFill>
            <a:gsLst>
              <a:gs pos="0">
                <a:srgbClr val="000082"/>
              </a:gs>
              <a:gs pos="13000">
                <a:srgbClr val="0047FF"/>
              </a:gs>
              <a:gs pos="28000">
                <a:srgbClr val="000082"/>
              </a:gs>
              <a:gs pos="42999">
                <a:srgbClr val="0047FF"/>
              </a:gs>
              <a:gs pos="58000">
                <a:srgbClr val="000082"/>
              </a:gs>
              <a:gs pos="72000">
                <a:srgbClr val="0047FF"/>
              </a:gs>
              <a:gs pos="87000">
                <a:srgbClr val="000082"/>
              </a:gs>
              <a:gs pos="100000">
                <a:srgbClr val="0047FF"/>
              </a:gs>
            </a:gsLst>
            <a:lin ang="5400000" scaled="0"/>
          </a:gradFill>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r>
            <a:rPr lang="he-IL" sz="1400">
              <a:solidFill>
                <a:schemeClr val="tx1"/>
              </a:solidFill>
            </a:rPr>
            <a:t>יש למלא את יח"ד משתכן ויח"ד</a:t>
          </a:r>
          <a:r>
            <a:rPr lang="he-IL" sz="1400" baseline="0">
              <a:solidFill>
                <a:schemeClr val="tx1"/>
              </a:solidFill>
            </a:rPr>
            <a:t> שוק חופשי בכל בניין.(למלא רק את העמודות בצהוב</a:t>
          </a:r>
        </a:p>
        <a:p>
          <a:pPr algn="r" rtl="1"/>
          <a:endParaRPr lang="he-IL" sz="1400">
            <a:solidFill>
              <a:schemeClr val="tx1"/>
            </a:solidFill>
          </a:endParaRPr>
        </a:p>
      </xdr:txBody>
    </xdr:sp>
    <xdr:clientData/>
  </xdr:twoCellAnchor>
  <xdr:twoCellAnchor>
    <xdr:from>
      <xdr:col>13</xdr:col>
      <xdr:colOff>0</xdr:colOff>
      <xdr:row>15</xdr:row>
      <xdr:rowOff>152399</xdr:rowOff>
    </xdr:from>
    <xdr:to>
      <xdr:col>17</xdr:col>
      <xdr:colOff>333375</xdr:colOff>
      <xdr:row>21</xdr:row>
      <xdr:rowOff>9525</xdr:rowOff>
    </xdr:to>
    <xdr:sp macro="" textlink="">
      <xdr:nvSpPr>
        <xdr:cNvPr id="3" name="Line Callout 2 1">
          <a:extLst>
            <a:ext uri="{FF2B5EF4-FFF2-40B4-BE49-F238E27FC236}">
              <a16:creationId xmlns:a16="http://schemas.microsoft.com/office/drawing/2014/main" id="{3DC1D0CE-3B15-43B7-B0F8-2A57B029948F}"/>
            </a:ext>
          </a:extLst>
        </xdr:cNvPr>
        <xdr:cNvSpPr/>
      </xdr:nvSpPr>
      <xdr:spPr>
        <a:xfrm>
          <a:off x="9821094150" y="3314699"/>
          <a:ext cx="2733675" cy="1019176"/>
        </a:xfrm>
        <a:prstGeom prst="borderCallout2">
          <a:avLst>
            <a:gd name="adj1" fmla="val 46243"/>
            <a:gd name="adj2" fmla="val 100156"/>
            <a:gd name="adj3" fmla="val 43222"/>
            <a:gd name="adj4" fmla="val 183128"/>
            <a:gd name="adj5" fmla="val 64810"/>
            <a:gd name="adj6" fmla="val 255094"/>
          </a:avLst>
        </a:prstGeom>
        <a:solidFill>
          <a:srgbClr val="FF0000"/>
        </a:solidFill>
        <a:ln w="50800" cmpd="dbl">
          <a:gradFill>
            <a:gsLst>
              <a:gs pos="0">
                <a:srgbClr val="000082"/>
              </a:gs>
              <a:gs pos="13000">
                <a:srgbClr val="0047FF"/>
              </a:gs>
              <a:gs pos="28000">
                <a:srgbClr val="000082"/>
              </a:gs>
              <a:gs pos="42999">
                <a:srgbClr val="0047FF"/>
              </a:gs>
              <a:gs pos="58000">
                <a:srgbClr val="000082"/>
              </a:gs>
              <a:gs pos="72000">
                <a:srgbClr val="0047FF"/>
              </a:gs>
              <a:gs pos="87000">
                <a:srgbClr val="000082"/>
              </a:gs>
              <a:gs pos="100000">
                <a:srgbClr val="0047FF"/>
              </a:gs>
            </a:gsLst>
            <a:lin ang="5400000" scaled="0"/>
          </a:gradFill>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he-IL" sz="1400" b="1">
              <a:solidFill>
                <a:schemeClr val="bg1"/>
              </a:solidFill>
            </a:rPr>
            <a:t>לא לשנות</a:t>
          </a:r>
          <a:r>
            <a:rPr lang="he-IL" sz="1400" b="1" baseline="0">
              <a:solidFill>
                <a:schemeClr val="bg1"/>
              </a:solidFill>
            </a:rPr>
            <a:t> את אחוז דירות בשוק החופשי . מחשב ע"פ נוסחה</a:t>
          </a:r>
        </a:p>
        <a:p>
          <a:pPr algn="ctr" rtl="1"/>
          <a:endParaRPr lang="he-IL" sz="1400">
            <a:solidFill>
              <a:schemeClr val="bg1"/>
            </a:solidFill>
          </a:endParaRPr>
        </a:p>
      </xdr:txBody>
    </xdr:sp>
    <xdr:clientData/>
  </xdr:twoCellAnchor>
  <xdr:twoCellAnchor>
    <xdr:from>
      <xdr:col>7</xdr:col>
      <xdr:colOff>1381125</xdr:colOff>
      <xdr:row>16</xdr:row>
      <xdr:rowOff>152400</xdr:rowOff>
    </xdr:from>
    <xdr:to>
      <xdr:col>9</xdr:col>
      <xdr:colOff>161925</xdr:colOff>
      <xdr:row>22</xdr:row>
      <xdr:rowOff>85725</xdr:rowOff>
    </xdr:to>
    <xdr:sp macro="" textlink="">
      <xdr:nvSpPr>
        <xdr:cNvPr id="4" name="אליפסה 3">
          <a:extLst>
            <a:ext uri="{FF2B5EF4-FFF2-40B4-BE49-F238E27FC236}">
              <a16:creationId xmlns:a16="http://schemas.microsoft.com/office/drawing/2014/main" id="{0A47B1D7-AC9D-4E5B-907C-1670CC628F35}"/>
            </a:ext>
          </a:extLst>
        </xdr:cNvPr>
        <xdr:cNvSpPr/>
      </xdr:nvSpPr>
      <xdr:spPr>
        <a:xfrm>
          <a:off x="9827990250" y="3505200"/>
          <a:ext cx="1057275" cy="1095375"/>
        </a:xfrm>
        <a:prstGeom prst="ellipse">
          <a:avLst/>
        </a:prstGeom>
        <a:noFill/>
      </xdr:spPr>
      <xdr:style>
        <a:lnRef idx="2">
          <a:schemeClr val="dk1"/>
        </a:lnRef>
        <a:fillRef idx="1">
          <a:schemeClr val="lt1"/>
        </a:fillRef>
        <a:effectRef idx="0">
          <a:schemeClr val="dk1"/>
        </a:effectRef>
        <a:fontRef idx="minor">
          <a:schemeClr val="dk1"/>
        </a:fontRef>
      </xdr:style>
      <xdr:txBody>
        <a:bodyPr vertOverflow="clip" horzOverflow="clip" rtlCol="1" anchor="t"/>
        <a:lstStyle/>
        <a:p>
          <a:pPr algn="r" rtl="1"/>
          <a:endParaRPr lang="he-IL" sz="1100"/>
        </a:p>
      </xdr:txBody>
    </xdr: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066DB-EADC-4DFB-ADF6-A7485AC694C7}">
  <sheetPr>
    <pageSetUpPr fitToPage="1"/>
  </sheetPr>
  <dimension ref="A1:AU247"/>
  <sheetViews>
    <sheetView rightToLeft="1" tabSelected="1" view="pageBreakPreview" topLeftCell="A26" zoomScale="70" zoomScaleNormal="40" zoomScaleSheetLayoutView="70" workbookViewId="0">
      <selection activeCell="AB28" sqref="AB28"/>
    </sheetView>
  </sheetViews>
  <sheetFormatPr defaultColWidth="9" defaultRowHeight="14.25" x14ac:dyDescent="0.2"/>
  <cols>
    <col min="1" max="1" width="14.85546875" style="1" customWidth="1"/>
    <col min="2" max="2" width="13.5703125" style="1" bestFit="1" customWidth="1"/>
    <col min="3" max="3" width="12.140625" style="1" bestFit="1" customWidth="1"/>
    <col min="4" max="4" width="8.140625" style="1" bestFit="1" customWidth="1"/>
    <col min="5" max="5" width="6.42578125" style="1" customWidth="1"/>
    <col min="6" max="6" width="7.42578125" style="1" customWidth="1"/>
    <col min="7" max="7" width="7.7109375" style="1" customWidth="1"/>
    <col min="8" max="8" width="12.85546875" style="1" customWidth="1"/>
    <col min="9" max="10" width="6.42578125" style="1" customWidth="1"/>
    <col min="11" max="11" width="17.85546875" style="1" bestFit="1" customWidth="1"/>
    <col min="12" max="12" width="12.42578125" style="1" customWidth="1"/>
    <col min="13" max="13" width="18" style="1" bestFit="1" customWidth="1"/>
    <col min="14" max="14" width="17.85546875" style="1" customWidth="1"/>
    <col min="15" max="15" width="25.42578125" style="1" customWidth="1"/>
    <col min="16" max="16" width="9" style="1"/>
    <col min="17" max="17" width="16.85546875" style="1" hidden="1" customWidth="1"/>
    <col min="18" max="18" width="15.28515625" style="1" hidden="1" customWidth="1"/>
    <col min="19" max="19" width="18.28515625" style="1" hidden="1" customWidth="1"/>
    <col min="20" max="20" width="11.7109375" style="1" hidden="1" customWidth="1"/>
    <col min="21" max="22" width="18.28515625" style="1" bestFit="1" customWidth="1"/>
    <col min="23" max="23" width="14.85546875" style="1" bestFit="1" customWidth="1"/>
    <col min="24" max="24" width="13" style="1" customWidth="1"/>
    <col min="25" max="27" width="9" style="1"/>
    <col min="28" max="28" width="18.28515625" style="1" bestFit="1" customWidth="1"/>
    <col min="29" max="29" width="12.85546875" style="1" bestFit="1" customWidth="1"/>
    <col min="30" max="31" width="9" style="1"/>
    <col min="32" max="32" width="11.5703125" style="1" bestFit="1" customWidth="1"/>
    <col min="33" max="33" width="15" style="1" bestFit="1" customWidth="1"/>
    <col min="34" max="16384" width="9" style="1"/>
  </cols>
  <sheetData>
    <row r="1" spans="1:47" ht="60.75" thickBot="1" x14ac:dyDescent="0.25">
      <c r="A1" s="190" t="s">
        <v>0</v>
      </c>
      <c r="B1" s="190"/>
      <c r="C1" s="190"/>
      <c r="D1" s="190"/>
      <c r="E1" s="190"/>
      <c r="F1" s="190"/>
      <c r="G1" s="190"/>
      <c r="H1" s="190"/>
      <c r="I1" s="190"/>
      <c r="J1" s="190"/>
      <c r="K1" s="190"/>
      <c r="L1" s="190"/>
      <c r="M1" s="190"/>
      <c r="N1" s="190"/>
      <c r="O1" s="190"/>
      <c r="U1" s="2" t="s">
        <v>1</v>
      </c>
      <c r="V1" s="3" t="s">
        <v>2</v>
      </c>
      <c r="W1" s="4" t="s">
        <v>3</v>
      </c>
      <c r="X1" s="4" t="s">
        <v>4</v>
      </c>
      <c r="Y1" s="4" t="s">
        <v>5</v>
      </c>
      <c r="Z1" s="5" t="s">
        <v>6</v>
      </c>
    </row>
    <row r="2" spans="1:47" ht="18" customHeight="1" thickBot="1" x14ac:dyDescent="0.35">
      <c r="F2" s="6"/>
      <c r="G2" s="191" t="s">
        <v>7</v>
      </c>
      <c r="H2" s="192"/>
      <c r="I2" s="192"/>
      <c r="J2" s="192"/>
      <c r="K2" s="192"/>
      <c r="U2" s="7">
        <v>3</v>
      </c>
      <c r="V2" s="8">
        <f>COUNTIFS($F$11:$F$236,U2)</f>
        <v>66</v>
      </c>
      <c r="W2" s="8">
        <f>COUNTIFS($F$11:$F$236,U2,$L$11:$L$236,"לא")</f>
        <v>2</v>
      </c>
      <c r="X2" s="8">
        <f>COUNTIFS($F$11:$F$236,U2,$L$11:$L$236,"כן")</f>
        <v>64</v>
      </c>
      <c r="Y2" s="9">
        <f>X2/V2</f>
        <v>0.96969696969696972</v>
      </c>
      <c r="Z2" s="10">
        <f>V2/$V$8</f>
        <v>0.29729729729729731</v>
      </c>
    </row>
    <row r="3" spans="1:47" ht="15.75" thickBot="1" x14ac:dyDescent="0.3">
      <c r="A3" s="11" t="s">
        <v>8</v>
      </c>
      <c r="B3" s="12" t="s">
        <v>9</v>
      </c>
      <c r="I3" s="11" t="s">
        <v>10</v>
      </c>
      <c r="U3" s="13">
        <v>4</v>
      </c>
      <c r="V3" s="14">
        <f t="shared" ref="V3:V7" si="0">COUNTIFS($F$11:$F$236,U3)</f>
        <v>98</v>
      </c>
      <c r="W3" s="14">
        <f t="shared" ref="W3:W7" si="1">COUNTIFS($F$11:$F$236,U3,$L$11:$L$236,"לא")</f>
        <v>2</v>
      </c>
      <c r="X3" s="14">
        <f t="shared" ref="X3:X7" si="2">COUNTIFS($F$11:$F$236,U3,$L$11:$L$236,"כן")</f>
        <v>96</v>
      </c>
      <c r="Y3" s="15">
        <f t="shared" ref="Y3:Y8" si="3">X3/V3</f>
        <v>0.97959183673469385</v>
      </c>
      <c r="Z3" s="193">
        <f>1-Z2</f>
        <v>0.70270270270270263</v>
      </c>
    </row>
    <row r="4" spans="1:47" ht="15.75" thickBot="1" x14ac:dyDescent="0.3">
      <c r="A4" s="11" t="s">
        <v>11</v>
      </c>
      <c r="B4" s="196">
        <v>73616</v>
      </c>
      <c r="C4" s="197"/>
      <c r="F4" s="16"/>
      <c r="I4" s="198" t="s">
        <v>12</v>
      </c>
      <c r="J4" s="198"/>
      <c r="K4" s="198"/>
      <c r="L4" s="198"/>
      <c r="M4" s="198"/>
      <c r="N4" s="198"/>
      <c r="O4" s="17">
        <f>14557*1.18</f>
        <v>17177.259999999998</v>
      </c>
      <c r="U4" s="13">
        <v>5</v>
      </c>
      <c r="V4" s="14">
        <f t="shared" si="0"/>
        <v>19</v>
      </c>
      <c r="W4" s="14">
        <f t="shared" si="1"/>
        <v>5</v>
      </c>
      <c r="X4" s="14">
        <f t="shared" si="2"/>
        <v>14</v>
      </c>
      <c r="Y4" s="15">
        <f t="shared" si="3"/>
        <v>0.73684210526315785</v>
      </c>
      <c r="Z4" s="194"/>
    </row>
    <row r="5" spans="1:47" ht="18.75" customHeight="1" thickBot="1" x14ac:dyDescent="0.45">
      <c r="A5" s="11" t="s">
        <v>13</v>
      </c>
      <c r="B5" s="196">
        <v>2256</v>
      </c>
      <c r="C5" s="197"/>
      <c r="F5" s="16"/>
      <c r="I5" s="18" t="s">
        <v>14</v>
      </c>
      <c r="J5" s="19"/>
      <c r="K5" s="19"/>
      <c r="L5" s="19"/>
      <c r="M5" s="19"/>
      <c r="O5" s="20"/>
      <c r="U5" s="13">
        <v>5.5</v>
      </c>
      <c r="V5" s="14">
        <f t="shared" si="0"/>
        <v>4</v>
      </c>
      <c r="W5" s="14">
        <f t="shared" si="1"/>
        <v>4</v>
      </c>
      <c r="X5" s="14">
        <f t="shared" si="2"/>
        <v>0</v>
      </c>
      <c r="Y5" s="15">
        <f t="shared" si="3"/>
        <v>0</v>
      </c>
      <c r="Z5" s="194"/>
    </row>
    <row r="6" spans="1:47" ht="15.75" thickBot="1" x14ac:dyDescent="0.3">
      <c r="A6" s="11" t="s">
        <v>15</v>
      </c>
      <c r="B6" s="196">
        <v>222</v>
      </c>
      <c r="C6" s="197"/>
      <c r="E6" s="16"/>
      <c r="I6" s="11"/>
      <c r="O6" s="20"/>
      <c r="U6" s="13">
        <v>6</v>
      </c>
      <c r="V6" s="14">
        <f t="shared" si="0"/>
        <v>29</v>
      </c>
      <c r="W6" s="14">
        <f t="shared" si="1"/>
        <v>25</v>
      </c>
      <c r="X6" s="14">
        <f t="shared" si="2"/>
        <v>4</v>
      </c>
      <c r="Y6" s="15">
        <f t="shared" si="3"/>
        <v>0.13793103448275862</v>
      </c>
      <c r="Z6" s="194"/>
    </row>
    <row r="7" spans="1:47" ht="15.75" thickBot="1" x14ac:dyDescent="0.3">
      <c r="A7" s="11" t="s">
        <v>16</v>
      </c>
      <c r="B7" s="11"/>
      <c r="D7" s="21">
        <v>178</v>
      </c>
      <c r="I7" s="11"/>
      <c r="L7" s="20"/>
      <c r="M7" s="20"/>
      <c r="N7" s="20"/>
      <c r="O7" s="20"/>
      <c r="U7" s="13">
        <v>6.5</v>
      </c>
      <c r="V7" s="14">
        <f t="shared" si="0"/>
        <v>6</v>
      </c>
      <c r="W7" s="14">
        <f t="shared" si="1"/>
        <v>6</v>
      </c>
      <c r="X7" s="14">
        <f t="shared" si="2"/>
        <v>0</v>
      </c>
      <c r="Y7" s="15">
        <f t="shared" si="3"/>
        <v>0</v>
      </c>
      <c r="Z7" s="195"/>
    </row>
    <row r="8" spans="1:47" ht="15.75" thickBot="1" x14ac:dyDescent="0.3">
      <c r="A8" s="11" t="s">
        <v>17</v>
      </c>
      <c r="B8" s="11"/>
      <c r="D8" s="186">
        <f>COUNTIF(L11:L235,"כן")/COUNT(C11:C235)</f>
        <v>0.80180180180180183</v>
      </c>
      <c r="E8" s="16"/>
      <c r="G8" s="22"/>
      <c r="H8" s="22"/>
      <c r="I8" s="11"/>
      <c r="L8" s="20"/>
      <c r="M8" s="20"/>
      <c r="N8" s="20"/>
      <c r="O8" s="22"/>
      <c r="U8" s="23" t="s">
        <v>2</v>
      </c>
      <c r="V8" s="24">
        <f>SUM(V2:V7)</f>
        <v>222</v>
      </c>
      <c r="W8" s="24">
        <f>SUBTOTAL(9,W2:W7)</f>
        <v>44</v>
      </c>
      <c r="X8" s="24">
        <f>SUBTOTAL(9,X2:X7)</f>
        <v>178</v>
      </c>
      <c r="Y8" s="25">
        <f t="shared" si="3"/>
        <v>0.80180180180180183</v>
      </c>
      <c r="Z8" s="26"/>
    </row>
    <row r="9" spans="1:47" ht="15.75" thickBot="1" x14ac:dyDescent="0.3">
      <c r="A9" s="199"/>
      <c r="B9" s="199"/>
      <c r="C9" s="199"/>
      <c r="D9" s="27"/>
    </row>
    <row r="10" spans="1:47" s="31" customFormat="1" ht="75.75" thickBot="1" x14ac:dyDescent="0.3">
      <c r="A10" s="28" t="s">
        <v>18</v>
      </c>
      <c r="B10" s="29" t="s">
        <v>19</v>
      </c>
      <c r="C10" s="29" t="s">
        <v>20</v>
      </c>
      <c r="D10" s="29" t="s">
        <v>21</v>
      </c>
      <c r="E10" s="29" t="s">
        <v>22</v>
      </c>
      <c r="F10" s="29" t="s">
        <v>23</v>
      </c>
      <c r="G10" s="29" t="s">
        <v>24</v>
      </c>
      <c r="H10" s="29" t="s">
        <v>25</v>
      </c>
      <c r="I10" s="29" t="s">
        <v>26</v>
      </c>
      <c r="J10" s="29" t="s">
        <v>27</v>
      </c>
      <c r="K10" s="29" t="s">
        <v>28</v>
      </c>
      <c r="L10" s="29" t="s">
        <v>29</v>
      </c>
      <c r="M10" s="29" t="s">
        <v>30</v>
      </c>
      <c r="N10" s="29" t="s">
        <v>31</v>
      </c>
      <c r="O10" s="29" t="s">
        <v>32</v>
      </c>
      <c r="P10" s="30" t="s">
        <v>33</v>
      </c>
    </row>
    <row r="11" spans="1:47" x14ac:dyDescent="0.2">
      <c r="A11" s="33" t="s">
        <v>35</v>
      </c>
      <c r="B11" s="34">
        <v>2</v>
      </c>
      <c r="C11" s="34">
        <v>1</v>
      </c>
      <c r="D11" s="34" t="s">
        <v>36</v>
      </c>
      <c r="E11" s="35" t="s">
        <v>37</v>
      </c>
      <c r="F11" s="35">
        <v>6</v>
      </c>
      <c r="G11" s="184">
        <v>146.15700000000001</v>
      </c>
      <c r="H11" s="35">
        <f>13.34+84.71</f>
        <v>98.05</v>
      </c>
      <c r="I11" s="36">
        <v>8.74</v>
      </c>
      <c r="J11" s="37">
        <v>1</v>
      </c>
      <c r="K11" s="38"/>
      <c r="L11" s="34" t="s">
        <v>98</v>
      </c>
      <c r="M11" s="39">
        <f>K11</f>
        <v>0</v>
      </c>
      <c r="N11" s="39">
        <f>M11-MIN(300000,20%*M11)</f>
        <v>0</v>
      </c>
      <c r="O11" s="35"/>
      <c r="P11" s="40">
        <v>112</v>
      </c>
      <c r="AB11" s="41"/>
      <c r="AC11" s="41"/>
      <c r="AD11" s="41"/>
      <c r="AE11" s="41"/>
      <c r="AF11" s="41"/>
      <c r="AG11" s="41"/>
      <c r="AH11" s="41"/>
      <c r="AI11" s="41"/>
      <c r="AJ11" s="41"/>
      <c r="AK11" s="41"/>
      <c r="AL11" s="41"/>
      <c r="AM11" s="41"/>
      <c r="AN11" s="41"/>
      <c r="AO11" s="41"/>
      <c r="AP11" s="41"/>
      <c r="AQ11" s="41"/>
      <c r="AR11" s="41"/>
      <c r="AS11" s="41"/>
      <c r="AT11" s="41"/>
      <c r="AU11" s="41"/>
    </row>
    <row r="12" spans="1:47" s="54" customFormat="1" x14ac:dyDescent="0.2">
      <c r="A12" s="46" t="s">
        <v>35</v>
      </c>
      <c r="B12" s="47">
        <v>2</v>
      </c>
      <c r="C12" s="47">
        <v>2</v>
      </c>
      <c r="D12" s="47" t="s">
        <v>40</v>
      </c>
      <c r="E12" s="47">
        <v>1</v>
      </c>
      <c r="F12" s="47">
        <v>4</v>
      </c>
      <c r="G12" s="48">
        <v>100.65</v>
      </c>
      <c r="H12" s="47">
        <v>10.01</v>
      </c>
      <c r="I12" s="49">
        <v>7.53</v>
      </c>
      <c r="J12" s="47">
        <v>1</v>
      </c>
      <c r="K12" s="50">
        <f t="shared" ref="K12:K46" si="4">((IF(G12&gt;VLOOKUP(F12,$AO$15:$AP$24,2,FALSE),((G12-VLOOKUP(F12,$AO$15:$AP$24,2,FALSE))*85%+VLOOKUP(F12,$AO$15:$AP$24,2,FALSE)),G12))+IF(H12&gt;30,30*$AL$18+IF(H12&gt;60,30*$AL$19+IF(H12&gt;120,60*$AL$20,(H12-60)*$AL$20),(H12-30)*$AL$19),H12*$AL$18)+$AL$23*I12+J12*$AL$24)*$O$4</f>
        <v>1866566.9579</v>
      </c>
      <c r="L12" s="47" t="s">
        <v>97</v>
      </c>
      <c r="M12" s="51">
        <f t="shared" ref="M12:M50" si="5">K12</f>
        <v>1866566.9579</v>
      </c>
      <c r="N12" s="51">
        <f t="shared" ref="N12:N75" si="6">M12-MIN(300000,20%*M12)</f>
        <v>1566566.9579</v>
      </c>
      <c r="O12" s="52"/>
      <c r="P12" s="53">
        <v>115</v>
      </c>
      <c r="Q12" s="1"/>
      <c r="AB12" s="41"/>
      <c r="AC12" s="41"/>
      <c r="AD12" s="41"/>
      <c r="AE12" s="41"/>
      <c r="AF12" s="41"/>
      <c r="AG12" s="41"/>
      <c r="AH12" s="41"/>
      <c r="AI12" s="41"/>
      <c r="AJ12" s="41"/>
      <c r="AK12" s="41"/>
      <c r="AL12" s="41"/>
      <c r="AM12" s="41"/>
      <c r="AN12" s="41"/>
      <c r="AO12" s="41"/>
      <c r="AP12" s="41"/>
      <c r="AQ12" s="41"/>
      <c r="AR12" s="41"/>
      <c r="AS12" s="41"/>
    </row>
    <row r="13" spans="1:47" x14ac:dyDescent="0.2">
      <c r="A13" s="46" t="s">
        <v>35</v>
      </c>
      <c r="B13" s="47">
        <v>2</v>
      </c>
      <c r="C13" s="47">
        <v>3</v>
      </c>
      <c r="D13" s="47" t="s">
        <v>41</v>
      </c>
      <c r="E13" s="47">
        <v>1</v>
      </c>
      <c r="F13" s="47">
        <v>3</v>
      </c>
      <c r="G13" s="48">
        <v>78.819999999999993</v>
      </c>
      <c r="H13" s="47">
        <v>11.25</v>
      </c>
      <c r="I13" s="49">
        <v>4.6100000000000003</v>
      </c>
      <c r="J13" s="47">
        <v>1</v>
      </c>
      <c r="K13" s="50">
        <f t="shared" si="4"/>
        <v>1477914.2731399997</v>
      </c>
      <c r="L13" s="47" t="s">
        <v>97</v>
      </c>
      <c r="M13" s="51">
        <f t="shared" si="5"/>
        <v>1477914.2731399997</v>
      </c>
      <c r="N13" s="51">
        <f t="shared" si="6"/>
        <v>1182331.4185119998</v>
      </c>
      <c r="O13" s="52"/>
      <c r="P13" s="59">
        <v>111</v>
      </c>
      <c r="Q13" s="60"/>
      <c r="AB13" s="41"/>
      <c r="AC13" s="41"/>
      <c r="AD13" s="41"/>
      <c r="AE13" s="41"/>
      <c r="AF13" s="41"/>
      <c r="AG13" s="41"/>
      <c r="AH13" s="41"/>
      <c r="AI13" s="41"/>
      <c r="AJ13" s="41"/>
      <c r="AK13" s="41"/>
      <c r="AL13" s="41"/>
      <c r="AM13" s="41"/>
      <c r="AN13" s="41"/>
      <c r="AO13" s="41"/>
      <c r="AP13" s="41"/>
      <c r="AQ13" s="41"/>
      <c r="AR13" s="41"/>
      <c r="AS13" s="41"/>
    </row>
    <row r="14" spans="1:47" ht="15.75" thickBot="1" x14ac:dyDescent="0.3">
      <c r="A14" s="46" t="s">
        <v>35</v>
      </c>
      <c r="B14" s="47">
        <v>2</v>
      </c>
      <c r="C14" s="47">
        <v>4</v>
      </c>
      <c r="D14" s="47" t="s">
        <v>43</v>
      </c>
      <c r="E14" s="52">
        <v>1</v>
      </c>
      <c r="F14" s="52">
        <v>3</v>
      </c>
      <c r="G14" s="48">
        <v>78.91</v>
      </c>
      <c r="H14" s="52">
        <v>11.25</v>
      </c>
      <c r="I14" s="63">
        <v>4.93</v>
      </c>
      <c r="J14" s="52">
        <v>1</v>
      </c>
      <c r="K14" s="50">
        <f t="shared" si="4"/>
        <v>1481658.9158199998</v>
      </c>
      <c r="L14" s="47" t="s">
        <v>97</v>
      </c>
      <c r="M14" s="51">
        <f t="shared" si="5"/>
        <v>1481658.9158199998</v>
      </c>
      <c r="N14" s="51">
        <f t="shared" si="6"/>
        <v>1185327.1326559999</v>
      </c>
      <c r="O14" s="52"/>
      <c r="P14" s="53">
        <v>6</v>
      </c>
      <c r="AB14" s="41"/>
      <c r="AC14" s="41"/>
      <c r="AD14" s="41"/>
      <c r="AE14" s="41"/>
      <c r="AF14" s="41"/>
      <c r="AG14" s="41"/>
      <c r="AH14" s="41"/>
      <c r="AI14" s="41"/>
      <c r="AJ14" s="31"/>
      <c r="AK14" s="31"/>
      <c r="AP14" s="32"/>
      <c r="AQ14" s="31"/>
      <c r="AR14" s="31"/>
      <c r="AS14" s="31"/>
    </row>
    <row r="15" spans="1:47" ht="15" x14ac:dyDescent="0.2">
      <c r="A15" s="46" t="s">
        <v>35</v>
      </c>
      <c r="B15" s="47">
        <v>2</v>
      </c>
      <c r="C15" s="47">
        <v>5</v>
      </c>
      <c r="D15" s="47" t="s">
        <v>45</v>
      </c>
      <c r="E15" s="52">
        <v>1</v>
      </c>
      <c r="F15" s="52">
        <v>4</v>
      </c>
      <c r="G15" s="48">
        <v>100.04</v>
      </c>
      <c r="H15" s="52">
        <v>12.69</v>
      </c>
      <c r="I15" s="49">
        <v>7.7</v>
      </c>
      <c r="J15" s="52">
        <v>1</v>
      </c>
      <c r="K15" s="50">
        <f t="shared" si="4"/>
        <v>1871067.4000199998</v>
      </c>
      <c r="L15" s="47" t="s">
        <v>97</v>
      </c>
      <c r="M15" s="51">
        <f t="shared" si="5"/>
        <v>1871067.4000199998</v>
      </c>
      <c r="N15" s="51">
        <f t="shared" si="6"/>
        <v>1571067.4000199998</v>
      </c>
      <c r="O15" s="52"/>
      <c r="P15" s="53">
        <v>95</v>
      </c>
      <c r="AB15" s="41"/>
      <c r="AC15" s="41"/>
      <c r="AD15" s="41"/>
      <c r="AE15" s="41"/>
      <c r="AF15" s="41"/>
      <c r="AG15" s="41"/>
      <c r="AH15" s="41"/>
      <c r="AI15" s="41"/>
      <c r="AK15" s="42" t="s">
        <v>38</v>
      </c>
      <c r="AL15" s="43"/>
      <c r="AO15" s="44" t="s">
        <v>23</v>
      </c>
      <c r="AP15" s="45" t="s">
        <v>39</v>
      </c>
      <c r="AQ15" s="41"/>
      <c r="AR15" s="41"/>
      <c r="AS15" s="41"/>
    </row>
    <row r="16" spans="1:47" ht="15" x14ac:dyDescent="0.2">
      <c r="A16" s="46" t="s">
        <v>35</v>
      </c>
      <c r="B16" s="47">
        <v>2</v>
      </c>
      <c r="C16" s="47">
        <v>6</v>
      </c>
      <c r="D16" s="47" t="s">
        <v>47</v>
      </c>
      <c r="E16" s="52">
        <v>1</v>
      </c>
      <c r="F16" s="52">
        <v>4</v>
      </c>
      <c r="G16" s="48">
        <v>100.08</v>
      </c>
      <c r="H16" s="52">
        <v>12.69</v>
      </c>
      <c r="I16" s="49">
        <v>7.82</v>
      </c>
      <c r="J16" s="47">
        <v>1</v>
      </c>
      <c r="K16" s="50">
        <f t="shared" si="4"/>
        <v>1872578.9988999998</v>
      </c>
      <c r="L16" s="47" t="s">
        <v>97</v>
      </c>
      <c r="M16" s="51">
        <f t="shared" si="5"/>
        <v>1872578.9988999998</v>
      </c>
      <c r="N16" s="51">
        <f t="shared" si="6"/>
        <v>1572578.9988999998</v>
      </c>
      <c r="O16" s="52"/>
      <c r="P16" s="53">
        <v>105</v>
      </c>
      <c r="AB16" s="41"/>
      <c r="AC16" s="41"/>
      <c r="AD16" s="41"/>
      <c r="AE16" s="41"/>
      <c r="AF16" s="41"/>
      <c r="AG16" s="41"/>
      <c r="AH16" s="41"/>
      <c r="AI16" s="41"/>
      <c r="AJ16" s="41"/>
      <c r="AK16" s="55" t="s">
        <v>34</v>
      </c>
      <c r="AL16" s="56">
        <v>1</v>
      </c>
      <c r="AM16" s="54"/>
      <c r="AN16" s="54"/>
      <c r="AO16" s="57">
        <v>2.5</v>
      </c>
      <c r="AP16" s="58">
        <v>76</v>
      </c>
      <c r="AQ16" s="41"/>
      <c r="AR16" s="41"/>
      <c r="AS16" s="41"/>
    </row>
    <row r="17" spans="1:45" ht="15" x14ac:dyDescent="0.2">
      <c r="A17" s="46" t="s">
        <v>35</v>
      </c>
      <c r="B17" s="47">
        <v>2</v>
      </c>
      <c r="C17" s="47">
        <v>7</v>
      </c>
      <c r="D17" s="47" t="s">
        <v>40</v>
      </c>
      <c r="E17" s="47">
        <v>2</v>
      </c>
      <c r="F17" s="47">
        <v>4</v>
      </c>
      <c r="G17" s="48">
        <v>100.65</v>
      </c>
      <c r="H17" s="47">
        <v>10.01</v>
      </c>
      <c r="I17" s="63">
        <v>8.14</v>
      </c>
      <c r="J17" s="52">
        <v>1</v>
      </c>
      <c r="K17" s="50">
        <f t="shared" si="4"/>
        <v>1870758.2093399998</v>
      </c>
      <c r="L17" s="47" t="s">
        <v>97</v>
      </c>
      <c r="M17" s="51">
        <f t="shared" si="5"/>
        <v>1870758.2093399998</v>
      </c>
      <c r="N17" s="51">
        <f t="shared" si="6"/>
        <v>1570758.2093399998</v>
      </c>
      <c r="O17" s="52"/>
      <c r="P17" s="53">
        <v>99</v>
      </c>
      <c r="AB17" s="41"/>
      <c r="AC17" s="41"/>
      <c r="AD17" s="41"/>
      <c r="AE17" s="41"/>
      <c r="AF17" s="41"/>
      <c r="AG17" s="41"/>
      <c r="AH17" s="41"/>
      <c r="AI17" s="41"/>
      <c r="AJ17" s="41"/>
      <c r="AK17" s="62" t="s">
        <v>42</v>
      </c>
      <c r="AL17" s="56">
        <v>0.85</v>
      </c>
      <c r="AO17" s="57">
        <v>3</v>
      </c>
      <c r="AP17" s="58">
        <v>90</v>
      </c>
      <c r="AQ17" s="41"/>
      <c r="AR17" s="41"/>
      <c r="AS17" s="41"/>
    </row>
    <row r="18" spans="1:45" ht="15" x14ac:dyDescent="0.2">
      <c r="A18" s="46" t="s">
        <v>35</v>
      </c>
      <c r="B18" s="47">
        <v>2</v>
      </c>
      <c r="C18" s="47">
        <v>8</v>
      </c>
      <c r="D18" s="47" t="s">
        <v>41</v>
      </c>
      <c r="E18" s="47">
        <v>2</v>
      </c>
      <c r="F18" s="47">
        <v>3</v>
      </c>
      <c r="G18" s="48">
        <v>78.819999999999993</v>
      </c>
      <c r="H18" s="47">
        <v>11.25</v>
      </c>
      <c r="I18" s="49">
        <v>5.03</v>
      </c>
      <c r="J18" s="47">
        <v>1</v>
      </c>
      <c r="K18" s="50">
        <f t="shared" si="4"/>
        <v>1480800.0528199999</v>
      </c>
      <c r="L18" s="47" t="s">
        <v>97</v>
      </c>
      <c r="M18" s="51">
        <f t="shared" si="5"/>
        <v>1480800.0528199999</v>
      </c>
      <c r="N18" s="51">
        <f t="shared" si="6"/>
        <v>1184640.042256</v>
      </c>
      <c r="O18" s="52"/>
      <c r="P18" s="53">
        <v>98</v>
      </c>
      <c r="AB18" s="41"/>
      <c r="AC18" s="41"/>
      <c r="AD18" s="41"/>
      <c r="AE18" s="41"/>
      <c r="AF18" s="41"/>
      <c r="AG18" s="41"/>
      <c r="AH18" s="41"/>
      <c r="AI18" s="41"/>
      <c r="AJ18" s="41"/>
      <c r="AK18" s="55" t="s">
        <v>44</v>
      </c>
      <c r="AL18" s="56">
        <v>0.3</v>
      </c>
      <c r="AO18" s="57">
        <v>3.5</v>
      </c>
      <c r="AP18" s="58">
        <v>100</v>
      </c>
      <c r="AQ18" s="41"/>
      <c r="AR18" s="41"/>
      <c r="AS18" s="41"/>
    </row>
    <row r="19" spans="1:45" ht="15" x14ac:dyDescent="0.2">
      <c r="A19" s="46" t="s">
        <v>35</v>
      </c>
      <c r="B19" s="47">
        <v>2</v>
      </c>
      <c r="C19" s="47">
        <v>9</v>
      </c>
      <c r="D19" s="47" t="s">
        <v>43</v>
      </c>
      <c r="E19" s="52">
        <v>2</v>
      </c>
      <c r="F19" s="52">
        <v>3</v>
      </c>
      <c r="G19" s="48">
        <v>78.91</v>
      </c>
      <c r="H19" s="52">
        <v>11.25</v>
      </c>
      <c r="I19" s="49">
        <v>8.2200000000000006</v>
      </c>
      <c r="J19" s="52">
        <v>1</v>
      </c>
      <c r="K19" s="50">
        <f t="shared" si="4"/>
        <v>1504264.1899799998</v>
      </c>
      <c r="L19" s="47" t="s">
        <v>97</v>
      </c>
      <c r="M19" s="51">
        <f t="shared" si="5"/>
        <v>1504264.1899799998</v>
      </c>
      <c r="N19" s="51">
        <f t="shared" si="6"/>
        <v>1204264.1899799998</v>
      </c>
      <c r="O19" s="52"/>
      <c r="P19" s="53">
        <v>101</v>
      </c>
      <c r="AB19" s="41"/>
      <c r="AC19" s="41"/>
      <c r="AD19" s="41"/>
      <c r="AE19" s="41"/>
      <c r="AF19" s="41"/>
      <c r="AG19" s="41"/>
      <c r="AH19" s="41"/>
      <c r="AI19" s="41"/>
      <c r="AJ19" s="41"/>
      <c r="AK19" s="55" t="s">
        <v>46</v>
      </c>
      <c r="AL19" s="56">
        <v>0.2</v>
      </c>
      <c r="AO19" s="57">
        <v>4</v>
      </c>
      <c r="AP19" s="58">
        <v>110</v>
      </c>
      <c r="AQ19" s="41"/>
      <c r="AR19" s="41"/>
      <c r="AS19" s="41"/>
    </row>
    <row r="20" spans="1:45" ht="15" x14ac:dyDescent="0.2">
      <c r="A20" s="46" t="s">
        <v>35</v>
      </c>
      <c r="B20" s="47">
        <v>2</v>
      </c>
      <c r="C20" s="47">
        <v>10</v>
      </c>
      <c r="D20" s="47" t="s">
        <v>45</v>
      </c>
      <c r="E20" s="52">
        <v>2</v>
      </c>
      <c r="F20" s="52">
        <v>4</v>
      </c>
      <c r="G20" s="48">
        <v>100.04</v>
      </c>
      <c r="H20" s="52">
        <v>12.69</v>
      </c>
      <c r="I20" s="63">
        <v>8.4499999999999993</v>
      </c>
      <c r="J20" s="47">
        <v>1</v>
      </c>
      <c r="K20" s="50">
        <f t="shared" si="4"/>
        <v>1876220.5780199999</v>
      </c>
      <c r="L20" s="47" t="s">
        <v>97</v>
      </c>
      <c r="M20" s="51">
        <f t="shared" si="5"/>
        <v>1876220.5780199999</v>
      </c>
      <c r="N20" s="51">
        <f t="shared" si="6"/>
        <v>1576220.5780199999</v>
      </c>
      <c r="O20" s="52"/>
      <c r="P20" s="53">
        <v>102</v>
      </c>
      <c r="AB20" s="41"/>
      <c r="AC20" s="41"/>
      <c r="AD20" s="41"/>
      <c r="AE20" s="41"/>
      <c r="AF20" s="41"/>
      <c r="AG20" s="41"/>
      <c r="AH20" s="41"/>
      <c r="AI20" s="41"/>
      <c r="AJ20" s="41"/>
      <c r="AK20" s="55" t="s">
        <v>48</v>
      </c>
      <c r="AL20" s="56">
        <v>0.1</v>
      </c>
      <c r="AO20" s="57">
        <v>4.5</v>
      </c>
      <c r="AP20" s="58">
        <v>120</v>
      </c>
      <c r="AQ20" s="41"/>
      <c r="AR20" s="41"/>
      <c r="AS20" s="41"/>
    </row>
    <row r="21" spans="1:45" ht="15" x14ac:dyDescent="0.2">
      <c r="A21" s="46" t="s">
        <v>35</v>
      </c>
      <c r="B21" s="47">
        <v>2</v>
      </c>
      <c r="C21" s="47">
        <v>11</v>
      </c>
      <c r="D21" s="47" t="s">
        <v>47</v>
      </c>
      <c r="E21" s="52">
        <v>2</v>
      </c>
      <c r="F21" s="52">
        <v>4</v>
      </c>
      <c r="G21" s="48">
        <v>100.08</v>
      </c>
      <c r="H21" s="52">
        <v>12.69</v>
      </c>
      <c r="I21" s="49">
        <v>8.93</v>
      </c>
      <c r="J21" s="52">
        <v>1</v>
      </c>
      <c r="K21" s="50">
        <f t="shared" si="4"/>
        <v>1880205.7023399998</v>
      </c>
      <c r="L21" s="47" t="s">
        <v>97</v>
      </c>
      <c r="M21" s="51">
        <f t="shared" si="5"/>
        <v>1880205.7023399998</v>
      </c>
      <c r="N21" s="51">
        <f t="shared" si="6"/>
        <v>1580205.7023399998</v>
      </c>
      <c r="O21" s="52"/>
      <c r="P21" s="53">
        <v>96</v>
      </c>
      <c r="AB21" s="41"/>
      <c r="AC21" s="41"/>
      <c r="AD21" s="41"/>
      <c r="AE21" s="41"/>
      <c r="AF21" s="41"/>
      <c r="AG21" s="41"/>
      <c r="AH21" s="41"/>
      <c r="AI21" s="41"/>
      <c r="AJ21" s="41"/>
      <c r="AK21" s="64"/>
      <c r="AL21" s="65"/>
      <c r="AO21" s="57">
        <v>5</v>
      </c>
      <c r="AP21" s="58">
        <v>125</v>
      </c>
      <c r="AQ21" s="41"/>
      <c r="AR21" s="41"/>
      <c r="AS21" s="41"/>
    </row>
    <row r="22" spans="1:45" ht="15" x14ac:dyDescent="0.2">
      <c r="A22" s="46" t="s">
        <v>35</v>
      </c>
      <c r="B22" s="47">
        <v>2</v>
      </c>
      <c r="C22" s="47">
        <v>12</v>
      </c>
      <c r="D22" s="47" t="s">
        <v>40</v>
      </c>
      <c r="E22" s="52">
        <v>3</v>
      </c>
      <c r="F22" s="47">
        <v>4</v>
      </c>
      <c r="G22" s="48">
        <v>100.65</v>
      </c>
      <c r="H22" s="47">
        <v>10.01</v>
      </c>
      <c r="I22" s="49">
        <v>10.28</v>
      </c>
      <c r="J22" s="47">
        <v>1</v>
      </c>
      <c r="K22" s="50">
        <f t="shared" si="4"/>
        <v>1885461.9438999998</v>
      </c>
      <c r="L22" s="47" t="s">
        <v>97</v>
      </c>
      <c r="M22" s="51">
        <f t="shared" si="5"/>
        <v>1885461.9438999998</v>
      </c>
      <c r="N22" s="51">
        <f t="shared" si="6"/>
        <v>1585461.9438999998</v>
      </c>
      <c r="O22" s="52"/>
      <c r="P22" s="53">
        <v>103</v>
      </c>
      <c r="AB22" s="41"/>
      <c r="AC22" s="41"/>
      <c r="AD22" s="41"/>
      <c r="AE22" s="41"/>
      <c r="AF22" s="41"/>
      <c r="AG22" s="41"/>
      <c r="AH22" s="41"/>
      <c r="AI22" s="41"/>
      <c r="AJ22" s="41"/>
      <c r="AK22" s="55" t="s">
        <v>49</v>
      </c>
      <c r="AL22" s="56">
        <v>0</v>
      </c>
      <c r="AO22" s="57">
        <v>5.5</v>
      </c>
      <c r="AP22" s="58">
        <v>135</v>
      </c>
      <c r="AQ22" s="41"/>
      <c r="AR22" s="41"/>
      <c r="AS22" s="41"/>
    </row>
    <row r="23" spans="1:45" ht="15" x14ac:dyDescent="0.2">
      <c r="A23" s="46" t="s">
        <v>35</v>
      </c>
      <c r="B23" s="47">
        <v>2</v>
      </c>
      <c r="C23" s="47">
        <v>13</v>
      </c>
      <c r="D23" s="47" t="s">
        <v>41</v>
      </c>
      <c r="E23" s="52">
        <v>3</v>
      </c>
      <c r="F23" s="47">
        <v>3</v>
      </c>
      <c r="G23" s="48">
        <v>78.819999999999993</v>
      </c>
      <c r="H23" s="47">
        <v>11.25</v>
      </c>
      <c r="I23" s="63">
        <v>8.6300000000000008</v>
      </c>
      <c r="J23" s="52">
        <v>1</v>
      </c>
      <c r="K23" s="50">
        <f t="shared" si="4"/>
        <v>1505535.3072199996</v>
      </c>
      <c r="L23" s="47" t="s">
        <v>97</v>
      </c>
      <c r="M23" s="51">
        <f t="shared" si="5"/>
        <v>1505535.3072199996</v>
      </c>
      <c r="N23" s="51">
        <f t="shared" si="6"/>
        <v>1205535.3072199996</v>
      </c>
      <c r="O23" s="52"/>
      <c r="P23" s="53">
        <v>1</v>
      </c>
      <c r="AB23" s="41"/>
      <c r="AC23" s="41"/>
      <c r="AD23" s="41"/>
      <c r="AE23" s="41"/>
      <c r="AF23" s="41"/>
      <c r="AG23" s="41"/>
      <c r="AH23" s="41"/>
      <c r="AI23" s="41"/>
      <c r="AJ23" s="41"/>
      <c r="AK23" s="55" t="s">
        <v>26</v>
      </c>
      <c r="AL23" s="56">
        <v>0.4</v>
      </c>
      <c r="AO23" s="57">
        <v>6</v>
      </c>
      <c r="AP23" s="58">
        <v>145</v>
      </c>
      <c r="AQ23" s="41"/>
      <c r="AR23" s="41"/>
      <c r="AS23" s="41"/>
    </row>
    <row r="24" spans="1:45" ht="15.75" thickBot="1" x14ac:dyDescent="0.25">
      <c r="A24" s="46" t="s">
        <v>35</v>
      </c>
      <c r="B24" s="47">
        <v>2</v>
      </c>
      <c r="C24" s="47">
        <v>14</v>
      </c>
      <c r="D24" s="47" t="s">
        <v>43</v>
      </c>
      <c r="E24" s="52">
        <v>3</v>
      </c>
      <c r="F24" s="52">
        <v>3</v>
      </c>
      <c r="G24" s="48">
        <v>78.91</v>
      </c>
      <c r="H24" s="52">
        <v>11.25</v>
      </c>
      <c r="I24" s="49">
        <v>4.72</v>
      </c>
      <c r="J24" s="47">
        <v>1</v>
      </c>
      <c r="K24" s="50">
        <f t="shared" si="4"/>
        <v>1480216.0259799999</v>
      </c>
      <c r="L24" s="47" t="s">
        <v>97</v>
      </c>
      <c r="M24" s="51">
        <f t="shared" si="5"/>
        <v>1480216.0259799999</v>
      </c>
      <c r="N24" s="51">
        <f t="shared" si="6"/>
        <v>1184172.820784</v>
      </c>
      <c r="O24" s="52"/>
      <c r="P24" s="53">
        <v>104</v>
      </c>
      <c r="AB24" s="41"/>
      <c r="AC24" s="41"/>
      <c r="AD24" s="41"/>
      <c r="AE24" s="41"/>
      <c r="AF24" s="41"/>
      <c r="AG24" s="41"/>
      <c r="AH24" s="41"/>
      <c r="AI24" s="41"/>
      <c r="AJ24" s="41"/>
      <c r="AK24" s="66" t="s">
        <v>27</v>
      </c>
      <c r="AL24" s="67">
        <v>2</v>
      </c>
      <c r="AO24" s="68">
        <v>6.5</v>
      </c>
      <c r="AP24" s="69">
        <v>200</v>
      </c>
      <c r="AQ24" s="41"/>
      <c r="AR24" s="41"/>
      <c r="AS24" s="41"/>
    </row>
    <row r="25" spans="1:45" x14ac:dyDescent="0.2">
      <c r="A25" s="46" t="s">
        <v>35</v>
      </c>
      <c r="B25" s="47">
        <v>2</v>
      </c>
      <c r="C25" s="47">
        <v>15</v>
      </c>
      <c r="D25" s="47" t="s">
        <v>45</v>
      </c>
      <c r="E25" s="52">
        <v>3</v>
      </c>
      <c r="F25" s="52">
        <v>4</v>
      </c>
      <c r="G25" s="48">
        <v>100.04</v>
      </c>
      <c r="H25" s="52">
        <v>11.25</v>
      </c>
      <c r="I25" s="49">
        <v>10.25</v>
      </c>
      <c r="J25" s="52">
        <v>1</v>
      </c>
      <c r="K25" s="50">
        <f t="shared" si="4"/>
        <v>1881167.6288999999</v>
      </c>
      <c r="L25" s="47" t="s">
        <v>97</v>
      </c>
      <c r="M25" s="51">
        <f t="shared" si="5"/>
        <v>1881167.6288999999</v>
      </c>
      <c r="N25" s="51">
        <f t="shared" si="6"/>
        <v>1581167.6288999999</v>
      </c>
      <c r="O25" s="52"/>
      <c r="P25" s="53">
        <v>109</v>
      </c>
      <c r="AB25" s="41"/>
      <c r="AC25" s="41"/>
      <c r="AD25" s="41"/>
      <c r="AE25" s="41"/>
      <c r="AF25" s="41"/>
      <c r="AG25" s="41"/>
      <c r="AH25" s="41"/>
      <c r="AI25" s="41"/>
      <c r="AJ25" s="41"/>
      <c r="AQ25" s="41"/>
      <c r="AR25" s="41"/>
      <c r="AS25" s="41"/>
    </row>
    <row r="26" spans="1:45" x14ac:dyDescent="0.2">
      <c r="A26" s="46" t="s">
        <v>35</v>
      </c>
      <c r="B26" s="47">
        <v>2</v>
      </c>
      <c r="C26" s="47">
        <v>16</v>
      </c>
      <c r="D26" s="47" t="s">
        <v>47</v>
      </c>
      <c r="E26" s="52">
        <v>3</v>
      </c>
      <c r="F26" s="52">
        <v>4</v>
      </c>
      <c r="G26" s="48">
        <v>100.08</v>
      </c>
      <c r="H26" s="52">
        <v>12.69</v>
      </c>
      <c r="I26" s="63">
        <v>10.99</v>
      </c>
      <c r="J26" s="47">
        <v>1</v>
      </c>
      <c r="K26" s="50">
        <f t="shared" si="4"/>
        <v>1894359.76458</v>
      </c>
      <c r="L26" s="47" t="s">
        <v>97</v>
      </c>
      <c r="M26" s="51">
        <f t="shared" si="5"/>
        <v>1894359.76458</v>
      </c>
      <c r="N26" s="51">
        <f t="shared" si="6"/>
        <v>1594359.76458</v>
      </c>
      <c r="O26" s="52"/>
      <c r="P26" s="53">
        <v>108</v>
      </c>
      <c r="AB26" s="41"/>
      <c r="AC26" s="41"/>
      <c r="AD26" s="41"/>
      <c r="AE26" s="41"/>
      <c r="AF26" s="41"/>
      <c r="AG26" s="41"/>
      <c r="AH26" s="41"/>
      <c r="AI26" s="41"/>
      <c r="AJ26" s="41"/>
      <c r="AK26" s="61"/>
      <c r="AL26" s="41"/>
      <c r="AQ26" s="41"/>
      <c r="AR26" s="41"/>
      <c r="AS26" s="41"/>
    </row>
    <row r="27" spans="1:45" x14ac:dyDescent="0.2">
      <c r="A27" s="46" t="s">
        <v>35</v>
      </c>
      <c r="B27" s="47">
        <v>2</v>
      </c>
      <c r="C27" s="47">
        <v>17</v>
      </c>
      <c r="D27" s="47" t="s">
        <v>40</v>
      </c>
      <c r="E27" s="52">
        <v>4</v>
      </c>
      <c r="F27" s="47">
        <v>4</v>
      </c>
      <c r="G27" s="48">
        <v>100.65</v>
      </c>
      <c r="H27" s="47">
        <v>10.01</v>
      </c>
      <c r="I27" s="49">
        <v>5.71</v>
      </c>
      <c r="J27" s="52">
        <v>1</v>
      </c>
      <c r="K27" s="50">
        <f t="shared" si="4"/>
        <v>1854061.9126200001</v>
      </c>
      <c r="L27" s="47" t="s">
        <v>97</v>
      </c>
      <c r="M27" s="51">
        <f t="shared" si="5"/>
        <v>1854061.9126200001</v>
      </c>
      <c r="N27" s="51">
        <f t="shared" si="6"/>
        <v>1554061.9126200001</v>
      </c>
      <c r="O27" s="52"/>
      <c r="P27" s="53">
        <v>65</v>
      </c>
      <c r="R27" s="41"/>
      <c r="U27" s="41"/>
      <c r="V27" s="41"/>
      <c r="W27" s="41"/>
      <c r="X27" s="41"/>
      <c r="Y27" s="41"/>
      <c r="Z27" s="41"/>
      <c r="AA27" s="41"/>
      <c r="AB27" s="41"/>
      <c r="AC27" s="41"/>
      <c r="AD27" s="41"/>
      <c r="AE27" s="41"/>
      <c r="AF27" s="41"/>
      <c r="AG27" s="41"/>
      <c r="AH27" s="41"/>
      <c r="AI27" s="41"/>
      <c r="AJ27" s="41"/>
      <c r="AQ27" s="41"/>
      <c r="AR27" s="41"/>
      <c r="AS27" s="41"/>
    </row>
    <row r="28" spans="1:45" x14ac:dyDescent="0.2">
      <c r="A28" s="46" t="s">
        <v>35</v>
      </c>
      <c r="B28" s="47">
        <v>2</v>
      </c>
      <c r="C28" s="47">
        <v>18</v>
      </c>
      <c r="D28" s="47" t="s">
        <v>41</v>
      </c>
      <c r="E28" s="52">
        <v>4</v>
      </c>
      <c r="F28" s="47">
        <v>3</v>
      </c>
      <c r="G28" s="48">
        <v>78.819999999999993</v>
      </c>
      <c r="H28" s="47">
        <v>11.25</v>
      </c>
      <c r="I28" s="49">
        <v>4.78</v>
      </c>
      <c r="J28" s="47">
        <v>1</v>
      </c>
      <c r="K28" s="50">
        <f t="shared" si="4"/>
        <v>1479082.3268199998</v>
      </c>
      <c r="L28" s="47" t="s">
        <v>97</v>
      </c>
      <c r="M28" s="51">
        <f t="shared" si="5"/>
        <v>1479082.3268199998</v>
      </c>
      <c r="N28" s="51">
        <f t="shared" si="6"/>
        <v>1183265.8614559998</v>
      </c>
      <c r="O28" s="52"/>
      <c r="P28" s="53">
        <v>97</v>
      </c>
      <c r="R28" s="41"/>
      <c r="U28" s="41"/>
      <c r="V28" s="41"/>
      <c r="W28" s="41"/>
      <c r="X28" s="41"/>
      <c r="Y28" s="41"/>
      <c r="Z28" s="41"/>
      <c r="AA28" s="41"/>
      <c r="AB28" s="41"/>
      <c r="AC28" s="41"/>
      <c r="AD28" s="41"/>
      <c r="AE28" s="41"/>
      <c r="AF28" s="41"/>
      <c r="AG28" s="41"/>
      <c r="AH28" s="41"/>
      <c r="AI28" s="41"/>
      <c r="AJ28" s="41"/>
      <c r="AM28" s="41"/>
      <c r="AN28" s="41"/>
      <c r="AO28" s="41"/>
      <c r="AP28" s="41"/>
      <c r="AQ28" s="41"/>
      <c r="AR28" s="41"/>
      <c r="AS28" s="41"/>
    </row>
    <row r="29" spans="1:45" x14ac:dyDescent="0.2">
      <c r="A29" s="46" t="s">
        <v>35</v>
      </c>
      <c r="B29" s="47">
        <v>2</v>
      </c>
      <c r="C29" s="47">
        <v>19</v>
      </c>
      <c r="D29" s="47" t="s">
        <v>43</v>
      </c>
      <c r="E29" s="52">
        <v>4</v>
      </c>
      <c r="F29" s="52">
        <v>3</v>
      </c>
      <c r="G29" s="48">
        <v>78.91</v>
      </c>
      <c r="H29" s="52">
        <v>11.25</v>
      </c>
      <c r="I29" s="63">
        <v>5.97</v>
      </c>
      <c r="J29" s="52">
        <v>1</v>
      </c>
      <c r="K29" s="50">
        <f t="shared" si="4"/>
        <v>1488804.6559799998</v>
      </c>
      <c r="L29" s="47" t="s">
        <v>97</v>
      </c>
      <c r="M29" s="51">
        <f t="shared" si="5"/>
        <v>1488804.6559799998</v>
      </c>
      <c r="N29" s="51">
        <f t="shared" si="6"/>
        <v>1191043.7247839998</v>
      </c>
      <c r="O29" s="52"/>
      <c r="P29" s="53">
        <v>110</v>
      </c>
      <c r="R29" s="41"/>
      <c r="U29" s="41"/>
      <c r="V29" s="41"/>
      <c r="W29" s="41"/>
      <c r="X29" s="41"/>
      <c r="Y29" s="41"/>
      <c r="Z29" s="41"/>
      <c r="AA29" s="41"/>
      <c r="AB29" s="41"/>
      <c r="AC29" s="41"/>
      <c r="AD29" s="41"/>
      <c r="AE29" s="41"/>
      <c r="AF29" s="41"/>
      <c r="AG29" s="41"/>
      <c r="AH29" s="41"/>
      <c r="AI29" s="41"/>
      <c r="AJ29" s="41"/>
      <c r="AM29" s="41"/>
      <c r="AN29" s="41"/>
      <c r="AO29" s="41"/>
      <c r="AP29" s="41"/>
      <c r="AQ29" s="41"/>
      <c r="AR29" s="41"/>
      <c r="AS29" s="41"/>
    </row>
    <row r="30" spans="1:45" x14ac:dyDescent="0.2">
      <c r="A30" s="46" t="s">
        <v>35</v>
      </c>
      <c r="B30" s="47">
        <v>2</v>
      </c>
      <c r="C30" s="47">
        <v>20</v>
      </c>
      <c r="D30" s="47" t="s">
        <v>45</v>
      </c>
      <c r="E30" s="52">
        <v>4</v>
      </c>
      <c r="F30" s="52">
        <v>4</v>
      </c>
      <c r="G30" s="48">
        <v>100.04</v>
      </c>
      <c r="H30" s="52">
        <v>12.69</v>
      </c>
      <c r="I30" s="49">
        <v>5.93</v>
      </c>
      <c r="J30" s="47">
        <v>1</v>
      </c>
      <c r="K30" s="50">
        <f t="shared" si="4"/>
        <v>1858905.8999399999</v>
      </c>
      <c r="L30" s="47" t="s">
        <v>97</v>
      </c>
      <c r="M30" s="51">
        <f t="shared" si="5"/>
        <v>1858905.8999399999</v>
      </c>
      <c r="N30" s="51">
        <f t="shared" si="6"/>
        <v>1558905.8999399999</v>
      </c>
      <c r="O30" s="52"/>
      <c r="P30" s="53">
        <v>7</v>
      </c>
      <c r="R30" s="41"/>
      <c r="U30" s="41"/>
      <c r="V30" s="41"/>
      <c r="W30" s="41"/>
      <c r="X30" s="41"/>
      <c r="Y30" s="41"/>
      <c r="Z30" s="41"/>
      <c r="AA30" s="41"/>
      <c r="AB30" s="41"/>
      <c r="AC30" s="41"/>
      <c r="AD30" s="41"/>
      <c r="AE30" s="41"/>
      <c r="AF30" s="41"/>
      <c r="AG30" s="41"/>
      <c r="AH30" s="41"/>
      <c r="AI30" s="41"/>
      <c r="AJ30" s="41"/>
      <c r="AM30" s="41"/>
      <c r="AN30" s="41"/>
      <c r="AO30" s="41"/>
      <c r="AP30" s="41"/>
      <c r="AQ30" s="41"/>
      <c r="AR30" s="41"/>
      <c r="AS30" s="41"/>
    </row>
    <row r="31" spans="1:45" x14ac:dyDescent="0.2">
      <c r="A31" s="46" t="s">
        <v>35</v>
      </c>
      <c r="B31" s="47">
        <v>2</v>
      </c>
      <c r="C31" s="47">
        <v>21</v>
      </c>
      <c r="D31" s="47" t="s">
        <v>47</v>
      </c>
      <c r="E31" s="52">
        <v>4</v>
      </c>
      <c r="F31" s="52">
        <v>4</v>
      </c>
      <c r="G31" s="48">
        <v>100.08</v>
      </c>
      <c r="H31" s="52">
        <v>12.69</v>
      </c>
      <c r="I31" s="49">
        <v>6.86</v>
      </c>
      <c r="J31" s="52">
        <v>1</v>
      </c>
      <c r="K31" s="50">
        <f t="shared" si="4"/>
        <v>1865982.9310599999</v>
      </c>
      <c r="L31" s="47" t="s">
        <v>97</v>
      </c>
      <c r="M31" s="51">
        <f t="shared" si="5"/>
        <v>1865982.9310599999</v>
      </c>
      <c r="N31" s="51">
        <f t="shared" si="6"/>
        <v>1565982.9310599999</v>
      </c>
      <c r="O31" s="52"/>
      <c r="P31" s="53">
        <v>62</v>
      </c>
      <c r="R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row>
    <row r="32" spans="1:45" x14ac:dyDescent="0.2">
      <c r="A32" s="46" t="s">
        <v>35</v>
      </c>
      <c r="B32" s="47">
        <v>2</v>
      </c>
      <c r="C32" s="47">
        <v>22</v>
      </c>
      <c r="D32" s="47" t="s">
        <v>40</v>
      </c>
      <c r="E32" s="52">
        <v>5</v>
      </c>
      <c r="F32" s="47">
        <v>4</v>
      </c>
      <c r="G32" s="48">
        <v>100.65</v>
      </c>
      <c r="H32" s="47">
        <v>10.01</v>
      </c>
      <c r="I32" s="49">
        <v>6.9</v>
      </c>
      <c r="J32" s="47">
        <v>1</v>
      </c>
      <c r="K32" s="50">
        <f t="shared" si="4"/>
        <v>1862238.28838</v>
      </c>
      <c r="L32" s="47" t="s">
        <v>97</v>
      </c>
      <c r="M32" s="51">
        <f t="shared" si="5"/>
        <v>1862238.28838</v>
      </c>
      <c r="N32" s="51">
        <f t="shared" si="6"/>
        <v>1562238.28838</v>
      </c>
      <c r="O32" s="52"/>
      <c r="P32" s="53">
        <v>63</v>
      </c>
      <c r="R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row>
    <row r="33" spans="1:45" x14ac:dyDescent="0.2">
      <c r="A33" s="46" t="s">
        <v>35</v>
      </c>
      <c r="B33" s="47">
        <v>2</v>
      </c>
      <c r="C33" s="47">
        <v>23</v>
      </c>
      <c r="D33" s="47" t="s">
        <v>41</v>
      </c>
      <c r="E33" s="52">
        <v>5</v>
      </c>
      <c r="F33" s="47">
        <v>3</v>
      </c>
      <c r="G33" s="48">
        <v>78.819999999999993</v>
      </c>
      <c r="H33" s="47">
        <v>11.25</v>
      </c>
      <c r="I33" s="63">
        <v>6.69</v>
      </c>
      <c r="J33" s="52">
        <v>1</v>
      </c>
      <c r="K33" s="50">
        <f t="shared" si="4"/>
        <v>1492205.7534599998</v>
      </c>
      <c r="L33" s="47" t="s">
        <v>97</v>
      </c>
      <c r="M33" s="51">
        <f t="shared" si="5"/>
        <v>1492205.7534599998</v>
      </c>
      <c r="N33" s="51">
        <f t="shared" si="6"/>
        <v>1193764.6027679997</v>
      </c>
      <c r="O33" s="52"/>
      <c r="P33" s="53">
        <v>107</v>
      </c>
      <c r="R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row>
    <row r="34" spans="1:45" x14ac:dyDescent="0.2">
      <c r="A34" s="46" t="s">
        <v>35</v>
      </c>
      <c r="B34" s="47">
        <v>2</v>
      </c>
      <c r="C34" s="47">
        <v>24</v>
      </c>
      <c r="D34" s="47" t="s">
        <v>43</v>
      </c>
      <c r="E34" s="52">
        <v>5</v>
      </c>
      <c r="F34" s="52">
        <v>3</v>
      </c>
      <c r="G34" s="48">
        <v>78.91</v>
      </c>
      <c r="H34" s="52">
        <v>11.25</v>
      </c>
      <c r="I34" s="49">
        <v>6.71</v>
      </c>
      <c r="J34" s="47">
        <v>1</v>
      </c>
      <c r="K34" s="50">
        <f t="shared" si="4"/>
        <v>1493889.1249399998</v>
      </c>
      <c r="L34" s="47" t="s">
        <v>97</v>
      </c>
      <c r="M34" s="51">
        <f t="shared" si="5"/>
        <v>1493889.1249399998</v>
      </c>
      <c r="N34" s="51">
        <f t="shared" si="6"/>
        <v>1195111.2999519999</v>
      </c>
      <c r="O34" s="52"/>
      <c r="P34" s="53">
        <v>117</v>
      </c>
      <c r="R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row>
    <row r="35" spans="1:45" x14ac:dyDescent="0.2">
      <c r="A35" s="46" t="s">
        <v>35</v>
      </c>
      <c r="B35" s="47">
        <v>2</v>
      </c>
      <c r="C35" s="47">
        <v>25</v>
      </c>
      <c r="D35" s="47" t="s">
        <v>45</v>
      </c>
      <c r="E35" s="52">
        <v>5</v>
      </c>
      <c r="F35" s="52">
        <v>4</v>
      </c>
      <c r="G35" s="48">
        <v>100.04</v>
      </c>
      <c r="H35" s="52">
        <v>12.69</v>
      </c>
      <c r="I35" s="49">
        <v>6.93</v>
      </c>
      <c r="J35" s="52">
        <v>1</v>
      </c>
      <c r="K35" s="50">
        <f t="shared" si="4"/>
        <v>1865776.80394</v>
      </c>
      <c r="L35" s="47" t="s">
        <v>97</v>
      </c>
      <c r="M35" s="51">
        <f t="shared" si="5"/>
        <v>1865776.80394</v>
      </c>
      <c r="N35" s="51">
        <f t="shared" si="6"/>
        <v>1565776.80394</v>
      </c>
      <c r="O35" s="52"/>
      <c r="P35" s="53">
        <v>64</v>
      </c>
      <c r="R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row>
    <row r="36" spans="1:45" x14ac:dyDescent="0.2">
      <c r="A36" s="46" t="s">
        <v>35</v>
      </c>
      <c r="B36" s="47">
        <v>2</v>
      </c>
      <c r="C36" s="47">
        <v>26</v>
      </c>
      <c r="D36" s="47" t="s">
        <v>47</v>
      </c>
      <c r="E36" s="52">
        <v>5</v>
      </c>
      <c r="F36" s="52">
        <v>4</v>
      </c>
      <c r="G36" s="48">
        <v>100.08</v>
      </c>
      <c r="H36" s="52">
        <v>12.69</v>
      </c>
      <c r="I36" s="63">
        <v>6.98</v>
      </c>
      <c r="J36" s="47">
        <v>1</v>
      </c>
      <c r="K36" s="50">
        <f t="shared" si="4"/>
        <v>1866807.4395399999</v>
      </c>
      <c r="L36" s="47" t="s">
        <v>97</v>
      </c>
      <c r="M36" s="51">
        <f t="shared" si="5"/>
        <v>1866807.4395399999</v>
      </c>
      <c r="N36" s="51">
        <f t="shared" si="6"/>
        <v>1566807.4395399999</v>
      </c>
      <c r="O36" s="52"/>
      <c r="P36" s="53">
        <v>14</v>
      </c>
      <c r="R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row>
    <row r="37" spans="1:45" x14ac:dyDescent="0.2">
      <c r="A37" s="46" t="s">
        <v>35</v>
      </c>
      <c r="B37" s="47">
        <v>2</v>
      </c>
      <c r="C37" s="47">
        <v>27</v>
      </c>
      <c r="D37" s="47" t="s">
        <v>40</v>
      </c>
      <c r="E37" s="52">
        <v>6</v>
      </c>
      <c r="F37" s="47">
        <v>4</v>
      </c>
      <c r="G37" s="48">
        <v>100.65</v>
      </c>
      <c r="H37" s="47">
        <v>10.01</v>
      </c>
      <c r="I37" s="49">
        <v>7.03</v>
      </c>
      <c r="J37" s="52">
        <v>1</v>
      </c>
      <c r="K37" s="50">
        <f t="shared" si="4"/>
        <v>1863131.5059</v>
      </c>
      <c r="L37" s="47" t="s">
        <v>97</v>
      </c>
      <c r="M37" s="51">
        <f t="shared" si="5"/>
        <v>1863131.5059</v>
      </c>
      <c r="N37" s="51">
        <f t="shared" si="6"/>
        <v>1563131.5059</v>
      </c>
      <c r="O37" s="52"/>
      <c r="P37" s="53">
        <v>5</v>
      </c>
      <c r="R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row>
    <row r="38" spans="1:45" x14ac:dyDescent="0.2">
      <c r="A38" s="46" t="s">
        <v>35</v>
      </c>
      <c r="B38" s="47">
        <v>2</v>
      </c>
      <c r="C38" s="47">
        <v>28</v>
      </c>
      <c r="D38" s="47" t="s">
        <v>41</v>
      </c>
      <c r="E38" s="52">
        <v>6</v>
      </c>
      <c r="F38" s="47">
        <v>3</v>
      </c>
      <c r="G38" s="48">
        <v>78.819999999999993</v>
      </c>
      <c r="H38" s="47">
        <v>11.25</v>
      </c>
      <c r="I38" s="49">
        <v>7</v>
      </c>
      <c r="J38" s="47">
        <v>1</v>
      </c>
      <c r="K38" s="50">
        <f t="shared" si="4"/>
        <v>1494335.7336999997</v>
      </c>
      <c r="L38" s="47" t="s">
        <v>97</v>
      </c>
      <c r="M38" s="51">
        <f t="shared" si="5"/>
        <v>1494335.7336999997</v>
      </c>
      <c r="N38" s="51">
        <f t="shared" si="6"/>
        <v>1195468.5869599998</v>
      </c>
      <c r="O38" s="52"/>
      <c r="P38" s="53">
        <v>100</v>
      </c>
      <c r="R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row>
    <row r="39" spans="1:45" x14ac:dyDescent="0.2">
      <c r="A39" s="46" t="s">
        <v>35</v>
      </c>
      <c r="B39" s="47">
        <v>2</v>
      </c>
      <c r="C39" s="47">
        <v>29</v>
      </c>
      <c r="D39" s="47" t="s">
        <v>43</v>
      </c>
      <c r="E39" s="52">
        <v>6</v>
      </c>
      <c r="F39" s="52">
        <v>3</v>
      </c>
      <c r="G39" s="48">
        <v>78.91</v>
      </c>
      <c r="H39" s="52">
        <v>11.25</v>
      </c>
      <c r="I39" s="63">
        <v>7.15</v>
      </c>
      <c r="J39" s="47">
        <v>1</v>
      </c>
      <c r="K39" s="50">
        <f t="shared" si="4"/>
        <v>1496912.3226999999</v>
      </c>
      <c r="L39" s="47" t="s">
        <v>97</v>
      </c>
      <c r="M39" s="51">
        <f t="shared" si="5"/>
        <v>1496912.3226999999</v>
      </c>
      <c r="N39" s="51">
        <f t="shared" si="6"/>
        <v>1197529.8581599998</v>
      </c>
      <c r="O39" s="52"/>
      <c r="P39" s="53">
        <v>190</v>
      </c>
      <c r="R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row>
    <row r="40" spans="1:45" x14ac:dyDescent="0.2">
      <c r="A40" s="46" t="s">
        <v>35</v>
      </c>
      <c r="B40" s="47">
        <v>2</v>
      </c>
      <c r="C40" s="47">
        <v>30</v>
      </c>
      <c r="D40" s="47" t="s">
        <v>45</v>
      </c>
      <c r="E40" s="52">
        <v>6</v>
      </c>
      <c r="F40" s="52">
        <v>4</v>
      </c>
      <c r="G40" s="48">
        <v>100.04</v>
      </c>
      <c r="H40" s="52">
        <v>12.69</v>
      </c>
      <c r="I40" s="49">
        <v>7.04</v>
      </c>
      <c r="J40" s="47">
        <v>1</v>
      </c>
      <c r="K40" s="50">
        <f t="shared" si="4"/>
        <v>1866532.60338</v>
      </c>
      <c r="L40" s="47" t="s">
        <v>97</v>
      </c>
      <c r="M40" s="51">
        <f t="shared" si="5"/>
        <v>1866532.60338</v>
      </c>
      <c r="N40" s="51">
        <f t="shared" si="6"/>
        <v>1566532.60338</v>
      </c>
      <c r="O40" s="52"/>
      <c r="P40" s="53">
        <v>4</v>
      </c>
      <c r="R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row>
    <row r="41" spans="1:45" x14ac:dyDescent="0.2">
      <c r="A41" s="46" t="s">
        <v>35</v>
      </c>
      <c r="B41" s="47">
        <v>2</v>
      </c>
      <c r="C41" s="47">
        <v>31</v>
      </c>
      <c r="D41" s="47" t="s">
        <v>47</v>
      </c>
      <c r="E41" s="52">
        <v>6</v>
      </c>
      <c r="F41" s="52">
        <v>4</v>
      </c>
      <c r="G41" s="48">
        <v>100.08</v>
      </c>
      <c r="H41" s="52">
        <v>12.69</v>
      </c>
      <c r="I41" s="49">
        <v>7.45</v>
      </c>
      <c r="J41" s="47">
        <v>1</v>
      </c>
      <c r="K41" s="50">
        <f t="shared" si="4"/>
        <v>1870036.7644199999</v>
      </c>
      <c r="L41" s="47" t="s">
        <v>97</v>
      </c>
      <c r="M41" s="51">
        <f t="shared" si="5"/>
        <v>1870036.7644199999</v>
      </c>
      <c r="N41" s="51">
        <f t="shared" si="6"/>
        <v>1570036.7644199999</v>
      </c>
      <c r="O41" s="52"/>
      <c r="P41" s="53">
        <v>13</v>
      </c>
      <c r="R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row>
    <row r="42" spans="1:45" x14ac:dyDescent="0.2">
      <c r="A42" s="46" t="s">
        <v>35</v>
      </c>
      <c r="B42" s="47">
        <v>2</v>
      </c>
      <c r="C42" s="47">
        <v>32</v>
      </c>
      <c r="D42" s="47" t="s">
        <v>40</v>
      </c>
      <c r="E42" s="52">
        <v>7</v>
      </c>
      <c r="F42" s="47">
        <v>4</v>
      </c>
      <c r="G42" s="48">
        <v>100.65</v>
      </c>
      <c r="H42" s="47">
        <v>10.01</v>
      </c>
      <c r="I42" s="63">
        <v>7.53</v>
      </c>
      <c r="J42" s="47">
        <v>1</v>
      </c>
      <c r="K42" s="50">
        <f t="shared" si="4"/>
        <v>1866566.9579</v>
      </c>
      <c r="L42" s="47" t="s">
        <v>97</v>
      </c>
      <c r="M42" s="51">
        <f t="shared" si="5"/>
        <v>1866566.9579</v>
      </c>
      <c r="N42" s="51">
        <f t="shared" si="6"/>
        <v>1566566.9579</v>
      </c>
      <c r="O42" s="52"/>
      <c r="P42" s="53">
        <v>3</v>
      </c>
      <c r="R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row>
    <row r="43" spans="1:45" x14ac:dyDescent="0.2">
      <c r="A43" s="46" t="s">
        <v>35</v>
      </c>
      <c r="B43" s="47">
        <v>2</v>
      </c>
      <c r="C43" s="47">
        <v>33</v>
      </c>
      <c r="D43" s="47" t="s">
        <v>41</v>
      </c>
      <c r="E43" s="52">
        <v>7</v>
      </c>
      <c r="F43" s="47">
        <v>3</v>
      </c>
      <c r="G43" s="48">
        <v>78.819999999999993</v>
      </c>
      <c r="H43" s="47">
        <v>11.25</v>
      </c>
      <c r="I43" s="49">
        <v>7.26</v>
      </c>
      <c r="J43" s="47">
        <v>1</v>
      </c>
      <c r="K43" s="50">
        <f t="shared" si="4"/>
        <v>1496122.1687399996</v>
      </c>
      <c r="L43" s="47" t="s">
        <v>97</v>
      </c>
      <c r="M43" s="51">
        <f t="shared" si="5"/>
        <v>1496122.1687399996</v>
      </c>
      <c r="N43" s="51">
        <f t="shared" si="6"/>
        <v>1196897.7349919998</v>
      </c>
      <c r="O43" s="52"/>
      <c r="P43" s="53">
        <v>116</v>
      </c>
      <c r="R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row>
    <row r="44" spans="1:45" x14ac:dyDescent="0.2">
      <c r="A44" s="46" t="s">
        <v>35</v>
      </c>
      <c r="B44" s="47">
        <v>2</v>
      </c>
      <c r="C44" s="47">
        <v>34</v>
      </c>
      <c r="D44" s="47" t="s">
        <v>43</v>
      </c>
      <c r="E44" s="52">
        <v>7</v>
      </c>
      <c r="F44" s="52">
        <v>3</v>
      </c>
      <c r="G44" s="48">
        <v>78.91</v>
      </c>
      <c r="H44" s="52">
        <v>11.25</v>
      </c>
      <c r="I44" s="49">
        <v>7.31</v>
      </c>
      <c r="J44" s="47">
        <v>1</v>
      </c>
      <c r="K44" s="50">
        <f t="shared" si="4"/>
        <v>1498011.6673399999</v>
      </c>
      <c r="L44" s="47" t="s">
        <v>97</v>
      </c>
      <c r="M44" s="51">
        <f t="shared" si="5"/>
        <v>1498011.6673399999</v>
      </c>
      <c r="N44" s="51">
        <f t="shared" si="6"/>
        <v>1198409.333872</v>
      </c>
      <c r="O44" s="52"/>
      <c r="P44" s="53">
        <v>106</v>
      </c>
      <c r="R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row>
    <row r="45" spans="1:45" x14ac:dyDescent="0.2">
      <c r="A45" s="46" t="s">
        <v>35</v>
      </c>
      <c r="B45" s="47">
        <v>2</v>
      </c>
      <c r="C45" s="47">
        <v>35</v>
      </c>
      <c r="D45" s="47" t="s">
        <v>45</v>
      </c>
      <c r="E45" s="52">
        <v>7</v>
      </c>
      <c r="F45" s="52">
        <v>4</v>
      </c>
      <c r="G45" s="48">
        <v>100.04</v>
      </c>
      <c r="H45" s="52">
        <v>12.69</v>
      </c>
      <c r="I45" s="63">
        <v>8.5500000000000007</v>
      </c>
      <c r="J45" s="47">
        <v>1</v>
      </c>
      <c r="K45" s="50">
        <f t="shared" si="4"/>
        <v>1876907.66842</v>
      </c>
      <c r="L45" s="47" t="s">
        <v>97</v>
      </c>
      <c r="M45" s="51">
        <f t="shared" si="5"/>
        <v>1876907.66842</v>
      </c>
      <c r="N45" s="51">
        <f t="shared" si="6"/>
        <v>1576907.66842</v>
      </c>
      <c r="O45" s="52"/>
      <c r="P45" s="53">
        <v>8</v>
      </c>
      <c r="R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row>
    <row r="46" spans="1:45" x14ac:dyDescent="0.2">
      <c r="A46" s="46" t="s">
        <v>35</v>
      </c>
      <c r="B46" s="47">
        <v>2</v>
      </c>
      <c r="C46" s="47">
        <v>36</v>
      </c>
      <c r="D46" s="47" t="s">
        <v>47</v>
      </c>
      <c r="E46" s="52">
        <v>7</v>
      </c>
      <c r="F46" s="52">
        <v>4</v>
      </c>
      <c r="G46" s="48">
        <v>100.08</v>
      </c>
      <c r="H46" s="52">
        <v>12.69</v>
      </c>
      <c r="I46" s="49">
        <v>9.14</v>
      </c>
      <c r="J46" s="47">
        <v>1</v>
      </c>
      <c r="K46" s="50">
        <f t="shared" si="4"/>
        <v>1881648.5921799999</v>
      </c>
      <c r="L46" s="47" t="s">
        <v>97</v>
      </c>
      <c r="M46" s="51">
        <f t="shared" si="5"/>
        <v>1881648.5921799999</v>
      </c>
      <c r="N46" s="51">
        <f t="shared" si="6"/>
        <v>1581648.5921799999</v>
      </c>
      <c r="O46" s="52"/>
      <c r="P46" s="53">
        <v>2</v>
      </c>
      <c r="R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row>
    <row r="47" spans="1:45" x14ac:dyDescent="0.2">
      <c r="A47" s="46" t="s">
        <v>35</v>
      </c>
      <c r="B47" s="47">
        <v>2</v>
      </c>
      <c r="C47" s="47">
        <v>37</v>
      </c>
      <c r="D47" s="47" t="s">
        <v>50</v>
      </c>
      <c r="E47" s="52">
        <v>8</v>
      </c>
      <c r="F47" s="52">
        <v>6.5</v>
      </c>
      <c r="G47" s="48">
        <v>187</v>
      </c>
      <c r="H47" s="47">
        <v>70.62</v>
      </c>
      <c r="I47" s="49">
        <v>6.31</v>
      </c>
      <c r="J47" s="47">
        <v>1</v>
      </c>
      <c r="K47" s="50"/>
      <c r="L47" s="47" t="s">
        <v>98</v>
      </c>
      <c r="M47" s="51">
        <f t="shared" si="5"/>
        <v>0</v>
      </c>
      <c r="N47" s="51">
        <f t="shared" si="6"/>
        <v>0</v>
      </c>
      <c r="O47" s="52"/>
      <c r="P47" s="53">
        <v>12</v>
      </c>
      <c r="R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row>
    <row r="48" spans="1:45" ht="14.25" customHeight="1" x14ac:dyDescent="0.2">
      <c r="A48" s="46" t="s">
        <v>35</v>
      </c>
      <c r="B48" s="47">
        <v>2</v>
      </c>
      <c r="C48" s="47">
        <v>38</v>
      </c>
      <c r="D48" s="47" t="s">
        <v>51</v>
      </c>
      <c r="E48" s="52">
        <v>8</v>
      </c>
      <c r="F48" s="52">
        <v>6.5</v>
      </c>
      <c r="G48" s="48">
        <v>187.34</v>
      </c>
      <c r="H48" s="47">
        <v>70.63</v>
      </c>
      <c r="I48" s="49">
        <v>9.8800000000000008</v>
      </c>
      <c r="J48" s="47">
        <v>1</v>
      </c>
      <c r="K48" s="50"/>
      <c r="L48" s="47" t="s">
        <v>98</v>
      </c>
      <c r="M48" s="51">
        <f t="shared" si="5"/>
        <v>0</v>
      </c>
      <c r="N48" s="51">
        <f t="shared" si="6"/>
        <v>0</v>
      </c>
      <c r="O48" s="52"/>
      <c r="P48" s="53">
        <v>11</v>
      </c>
      <c r="R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row>
    <row r="49" spans="1:45" x14ac:dyDescent="0.2">
      <c r="A49" s="46" t="s">
        <v>35</v>
      </c>
      <c r="B49" s="47">
        <v>2</v>
      </c>
      <c r="C49" s="47">
        <v>39</v>
      </c>
      <c r="D49" s="47" t="s">
        <v>52</v>
      </c>
      <c r="E49" s="52">
        <v>9</v>
      </c>
      <c r="F49" s="52">
        <v>5.5</v>
      </c>
      <c r="G49" s="48">
        <v>167.09</v>
      </c>
      <c r="H49" s="47">
        <v>54.12</v>
      </c>
      <c r="I49" s="63">
        <v>12.22</v>
      </c>
      <c r="J49" s="47">
        <v>1</v>
      </c>
      <c r="K49" s="50"/>
      <c r="L49" s="47" t="s">
        <v>98</v>
      </c>
      <c r="M49" s="51">
        <f t="shared" si="5"/>
        <v>0</v>
      </c>
      <c r="N49" s="51">
        <f t="shared" si="6"/>
        <v>0</v>
      </c>
      <c r="O49" s="52"/>
      <c r="P49" s="53">
        <v>9</v>
      </c>
      <c r="R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row>
    <row r="50" spans="1:45" ht="15" thickBot="1" x14ac:dyDescent="0.25">
      <c r="A50" s="70" t="s">
        <v>35</v>
      </c>
      <c r="B50" s="71">
        <v>2</v>
      </c>
      <c r="C50" s="71">
        <v>40</v>
      </c>
      <c r="D50" s="71" t="s">
        <v>53</v>
      </c>
      <c r="E50" s="72">
        <v>9</v>
      </c>
      <c r="F50" s="72">
        <v>5.5</v>
      </c>
      <c r="G50" s="73">
        <v>165.04</v>
      </c>
      <c r="H50" s="71">
        <v>54.38</v>
      </c>
      <c r="I50" s="74">
        <v>9.4499999999999993</v>
      </c>
      <c r="J50" s="71">
        <v>1</v>
      </c>
      <c r="K50" s="75"/>
      <c r="L50" s="71" t="s">
        <v>98</v>
      </c>
      <c r="M50" s="76">
        <f t="shared" si="5"/>
        <v>0</v>
      </c>
      <c r="N50" s="76">
        <f t="shared" si="6"/>
        <v>0</v>
      </c>
      <c r="O50" s="72"/>
      <c r="P50" s="77">
        <v>10</v>
      </c>
      <c r="R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row>
    <row r="51" spans="1:45" ht="15.75" thickBot="1" x14ac:dyDescent="0.3">
      <c r="A51" s="78" t="s">
        <v>54</v>
      </c>
      <c r="B51" s="79"/>
      <c r="C51" s="80"/>
      <c r="D51" s="80"/>
      <c r="E51" s="80"/>
      <c r="F51" s="80"/>
      <c r="G51" s="81">
        <f>SUMIF(L11:L50,"כן",G11:G50)/COUNTIF(L11:L50,"כן")</f>
        <v>91.7</v>
      </c>
      <c r="I51" s="200" t="s">
        <v>55</v>
      </c>
      <c r="J51" s="201"/>
      <c r="K51" s="201"/>
      <c r="L51" s="82">
        <f>COUNTIF(L11:L50,"כן")/COUNT(C11:C50)</f>
        <v>0.875</v>
      </c>
      <c r="M51" s="82"/>
      <c r="N51" s="82"/>
      <c r="O51" s="83"/>
      <c r="P51" s="84"/>
      <c r="R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row>
    <row r="52" spans="1:45" x14ac:dyDescent="0.2">
      <c r="A52" s="33" t="s">
        <v>56</v>
      </c>
      <c r="B52" s="34">
        <v>2</v>
      </c>
      <c r="C52" s="34">
        <v>1</v>
      </c>
      <c r="D52" s="34" t="s">
        <v>57</v>
      </c>
      <c r="E52" s="35" t="s">
        <v>37</v>
      </c>
      <c r="F52" s="35">
        <v>6</v>
      </c>
      <c r="G52" s="35">
        <v>146.35</v>
      </c>
      <c r="H52" s="35">
        <f>84.93+13.47</f>
        <v>98.4</v>
      </c>
      <c r="I52" s="36">
        <v>9.2899999999999991</v>
      </c>
      <c r="J52" s="35">
        <v>1</v>
      </c>
      <c r="K52" s="38"/>
      <c r="L52" s="34" t="s">
        <v>98</v>
      </c>
      <c r="M52" s="39">
        <f>K52</f>
        <v>0</v>
      </c>
      <c r="N52" s="39">
        <f t="shared" si="6"/>
        <v>0</v>
      </c>
      <c r="O52" s="35"/>
      <c r="P52" s="85">
        <v>30</v>
      </c>
      <c r="R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row>
    <row r="53" spans="1:45" s="54" customFormat="1" x14ac:dyDescent="0.2">
      <c r="A53" s="46" t="s">
        <v>56</v>
      </c>
      <c r="B53" s="47">
        <v>2</v>
      </c>
      <c r="C53" s="47">
        <v>2</v>
      </c>
      <c r="D53" s="47" t="s">
        <v>58</v>
      </c>
      <c r="E53" s="47" t="s">
        <v>37</v>
      </c>
      <c r="F53" s="47">
        <v>6</v>
      </c>
      <c r="G53" s="47">
        <v>145.94</v>
      </c>
      <c r="H53" s="47">
        <f>13.47+84.35</f>
        <v>97.82</v>
      </c>
      <c r="I53" s="49">
        <v>7.05</v>
      </c>
      <c r="J53" s="47">
        <v>1</v>
      </c>
      <c r="K53" s="50"/>
      <c r="L53" s="47" t="s">
        <v>98</v>
      </c>
      <c r="M53" s="51">
        <f t="shared" ref="M53:M92" si="7">K53</f>
        <v>0</v>
      </c>
      <c r="N53" s="51">
        <f t="shared" si="6"/>
        <v>0</v>
      </c>
      <c r="O53" s="52"/>
      <c r="P53" s="53">
        <v>56</v>
      </c>
      <c r="Q53" s="1"/>
      <c r="R53" s="41"/>
      <c r="S53" s="1"/>
      <c r="T53" s="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row>
    <row r="54" spans="1:45" x14ac:dyDescent="0.2">
      <c r="A54" s="46" t="s">
        <v>56</v>
      </c>
      <c r="B54" s="47">
        <v>2</v>
      </c>
      <c r="C54" s="47">
        <v>3</v>
      </c>
      <c r="D54" s="47" t="s">
        <v>40</v>
      </c>
      <c r="E54" s="47">
        <v>1</v>
      </c>
      <c r="F54" s="47">
        <v>4</v>
      </c>
      <c r="G54" s="47">
        <v>100.65</v>
      </c>
      <c r="H54" s="47">
        <v>10.1</v>
      </c>
      <c r="I54" s="49">
        <v>6.73</v>
      </c>
      <c r="J54" s="47">
        <v>1</v>
      </c>
      <c r="K54" s="50">
        <f t="shared" ref="K54:K88" si="8">((IF(G54&gt;VLOOKUP(F54,$AO$15:$AP$24,2,FALSE),((G54-VLOOKUP(F54,$AO$15:$AP$24,2,FALSE))*85%+VLOOKUP(F54,$AO$15:$AP$24,2,FALSE)),G54))+IF(H54&gt;30,30*$AL$18+IF(H54&gt;60,30*$AL$19+IF(H54&gt;120,60*$AL$20,(H54-60)*$AL$20),(H54-30)*$AL$19),H54*$AL$18)+$AL$23*I54+J54*$AL$24)*$O$4</f>
        <v>1861534.0207200001</v>
      </c>
      <c r="L54" s="47" t="s">
        <v>97</v>
      </c>
      <c r="M54" s="51">
        <f t="shared" si="7"/>
        <v>1861534.0207200001</v>
      </c>
      <c r="N54" s="51">
        <f t="shared" si="6"/>
        <v>1561534.0207200001</v>
      </c>
      <c r="O54" s="52"/>
      <c r="P54" s="59">
        <v>168</v>
      </c>
      <c r="R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row>
    <row r="55" spans="1:45" x14ac:dyDescent="0.2">
      <c r="A55" s="46" t="s">
        <v>56</v>
      </c>
      <c r="B55" s="47">
        <v>2</v>
      </c>
      <c r="C55" s="47">
        <v>4</v>
      </c>
      <c r="D55" s="47" t="s">
        <v>41</v>
      </c>
      <c r="E55" s="52">
        <v>1</v>
      </c>
      <c r="F55" s="52">
        <v>3</v>
      </c>
      <c r="G55" s="52">
        <v>78.87</v>
      </c>
      <c r="H55" s="47">
        <v>11.250999999999999</v>
      </c>
      <c r="I55" s="63">
        <v>4.83</v>
      </c>
      <c r="J55" s="52">
        <v>1</v>
      </c>
      <c r="K55" s="50">
        <f t="shared" si="8"/>
        <v>1480289.8881979999</v>
      </c>
      <c r="L55" s="47" t="s">
        <v>97</v>
      </c>
      <c r="M55" s="51">
        <f t="shared" si="7"/>
        <v>1480289.8881979999</v>
      </c>
      <c r="N55" s="51">
        <f t="shared" si="6"/>
        <v>1184231.9105584</v>
      </c>
      <c r="O55" s="52"/>
      <c r="P55" s="53">
        <v>156</v>
      </c>
      <c r="R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row>
    <row r="56" spans="1:45" x14ac:dyDescent="0.2">
      <c r="A56" s="46" t="s">
        <v>56</v>
      </c>
      <c r="B56" s="47">
        <v>2</v>
      </c>
      <c r="C56" s="47">
        <v>5</v>
      </c>
      <c r="D56" s="47" t="s">
        <v>43</v>
      </c>
      <c r="E56" s="52">
        <v>1</v>
      </c>
      <c r="F56" s="52">
        <v>3</v>
      </c>
      <c r="G56" s="52">
        <v>78.62</v>
      </c>
      <c r="H56" s="52">
        <v>11.252000000000001</v>
      </c>
      <c r="I56" s="49">
        <v>4.76</v>
      </c>
      <c r="J56" s="52">
        <v>1</v>
      </c>
      <c r="K56" s="50">
        <f t="shared" si="8"/>
        <v>1475519.7630960001</v>
      </c>
      <c r="L56" s="47" t="s">
        <v>97</v>
      </c>
      <c r="M56" s="51">
        <f t="shared" si="7"/>
        <v>1475519.7630960001</v>
      </c>
      <c r="N56" s="51">
        <f t="shared" si="6"/>
        <v>1180415.8104768</v>
      </c>
      <c r="O56" s="52"/>
      <c r="P56" s="53">
        <v>160</v>
      </c>
      <c r="R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row>
    <row r="57" spans="1:45" x14ac:dyDescent="0.2">
      <c r="A57" s="46" t="s">
        <v>56</v>
      </c>
      <c r="B57" s="47">
        <v>2</v>
      </c>
      <c r="C57" s="47">
        <v>6</v>
      </c>
      <c r="D57" s="47" t="s">
        <v>45</v>
      </c>
      <c r="E57" s="52">
        <v>1</v>
      </c>
      <c r="F57" s="52">
        <v>4</v>
      </c>
      <c r="G57" s="52">
        <v>100.04</v>
      </c>
      <c r="H57" s="52">
        <v>12.69</v>
      </c>
      <c r="I57" s="49">
        <v>7.03</v>
      </c>
      <c r="J57" s="47">
        <v>1</v>
      </c>
      <c r="K57" s="50">
        <f t="shared" si="8"/>
        <v>1866463.8943399999</v>
      </c>
      <c r="L57" s="47" t="s">
        <v>97</v>
      </c>
      <c r="M57" s="51">
        <f t="shared" si="7"/>
        <v>1866463.8943399999</v>
      </c>
      <c r="N57" s="51">
        <f t="shared" si="6"/>
        <v>1566463.8943399999</v>
      </c>
      <c r="O57" s="52"/>
      <c r="P57" s="53">
        <v>146</v>
      </c>
      <c r="R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row>
    <row r="58" spans="1:45" x14ac:dyDescent="0.2">
      <c r="A58" s="46" t="s">
        <v>56</v>
      </c>
      <c r="B58" s="47">
        <v>2</v>
      </c>
      <c r="C58" s="47">
        <v>7</v>
      </c>
      <c r="D58" s="47" t="s">
        <v>47</v>
      </c>
      <c r="E58" s="52">
        <v>1</v>
      </c>
      <c r="F58" s="52">
        <v>4</v>
      </c>
      <c r="G58" s="52">
        <v>100.08</v>
      </c>
      <c r="H58" s="52">
        <v>12.69</v>
      </c>
      <c r="I58" s="63">
        <v>7.69</v>
      </c>
      <c r="J58" s="52">
        <v>1</v>
      </c>
      <c r="K58" s="50">
        <f t="shared" si="8"/>
        <v>1871685.7813799998</v>
      </c>
      <c r="L58" s="47" t="s">
        <v>97</v>
      </c>
      <c r="M58" s="51">
        <f t="shared" si="7"/>
        <v>1871685.7813799998</v>
      </c>
      <c r="N58" s="51">
        <f t="shared" si="6"/>
        <v>1571685.7813799998</v>
      </c>
      <c r="O58" s="52"/>
      <c r="P58" s="53">
        <v>145</v>
      </c>
      <c r="R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row>
    <row r="59" spans="1:45" x14ac:dyDescent="0.2">
      <c r="A59" s="46" t="s">
        <v>56</v>
      </c>
      <c r="B59" s="47">
        <v>2</v>
      </c>
      <c r="C59" s="47">
        <v>8</v>
      </c>
      <c r="D59" s="47" t="s">
        <v>40</v>
      </c>
      <c r="E59" s="52">
        <v>2</v>
      </c>
      <c r="F59" s="47">
        <v>4</v>
      </c>
      <c r="G59" s="47">
        <v>100.65</v>
      </c>
      <c r="H59" s="47">
        <v>10.1</v>
      </c>
      <c r="I59" s="49">
        <v>7.74</v>
      </c>
      <c r="J59" s="47">
        <v>1</v>
      </c>
      <c r="K59" s="50">
        <f t="shared" si="8"/>
        <v>1868473.6337600001</v>
      </c>
      <c r="L59" s="47" t="s">
        <v>97</v>
      </c>
      <c r="M59" s="51">
        <f t="shared" si="7"/>
        <v>1868473.6337600001</v>
      </c>
      <c r="N59" s="51">
        <f t="shared" si="6"/>
        <v>1568473.6337600001</v>
      </c>
      <c r="O59" s="52"/>
      <c r="P59" s="53">
        <v>149</v>
      </c>
      <c r="R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row>
    <row r="60" spans="1:45" x14ac:dyDescent="0.2">
      <c r="A60" s="46" t="s">
        <v>56</v>
      </c>
      <c r="B60" s="47">
        <v>2</v>
      </c>
      <c r="C60" s="47">
        <v>9</v>
      </c>
      <c r="D60" s="47" t="s">
        <v>41</v>
      </c>
      <c r="E60" s="52">
        <v>2</v>
      </c>
      <c r="F60" s="52">
        <v>3</v>
      </c>
      <c r="G60" s="52">
        <v>78.87</v>
      </c>
      <c r="H60" s="47">
        <v>11.250999999999999</v>
      </c>
      <c r="I60" s="49">
        <v>5.09</v>
      </c>
      <c r="J60" s="52">
        <v>1</v>
      </c>
      <c r="K60" s="50">
        <f t="shared" si="8"/>
        <v>1482076.3232379998</v>
      </c>
      <c r="L60" s="47" t="s">
        <v>97</v>
      </c>
      <c r="M60" s="51">
        <f t="shared" si="7"/>
        <v>1482076.3232379998</v>
      </c>
      <c r="N60" s="51">
        <f t="shared" si="6"/>
        <v>1185661.0585903998</v>
      </c>
      <c r="O60" s="52"/>
      <c r="P60" s="53">
        <v>159</v>
      </c>
      <c r="R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row>
    <row r="61" spans="1:45" x14ac:dyDescent="0.2">
      <c r="A61" s="46" t="s">
        <v>56</v>
      </c>
      <c r="B61" s="47">
        <v>2</v>
      </c>
      <c r="C61" s="47">
        <v>10</v>
      </c>
      <c r="D61" s="47" t="s">
        <v>43</v>
      </c>
      <c r="E61" s="52">
        <v>2</v>
      </c>
      <c r="F61" s="52">
        <v>3</v>
      </c>
      <c r="G61" s="52">
        <v>78.62</v>
      </c>
      <c r="H61" s="52">
        <v>11.252000000000001</v>
      </c>
      <c r="I61" s="63">
        <v>4.99</v>
      </c>
      <c r="J61" s="47">
        <v>1</v>
      </c>
      <c r="K61" s="50">
        <f t="shared" si="8"/>
        <v>1477100.0710159999</v>
      </c>
      <c r="L61" s="47" t="s">
        <v>97</v>
      </c>
      <c r="M61" s="86">
        <f t="shared" si="7"/>
        <v>1477100.0710159999</v>
      </c>
      <c r="N61" s="86">
        <f t="shared" si="6"/>
        <v>1181680.0568128</v>
      </c>
      <c r="O61" s="52"/>
      <c r="P61" s="53">
        <v>157</v>
      </c>
      <c r="R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row>
    <row r="62" spans="1:45" x14ac:dyDescent="0.2">
      <c r="A62" s="46" t="s">
        <v>56</v>
      </c>
      <c r="B62" s="47">
        <v>2</v>
      </c>
      <c r="C62" s="47">
        <v>11</v>
      </c>
      <c r="D62" s="47" t="s">
        <v>45</v>
      </c>
      <c r="E62" s="52">
        <v>2</v>
      </c>
      <c r="F62" s="52">
        <v>4</v>
      </c>
      <c r="G62" s="52">
        <v>100.04</v>
      </c>
      <c r="H62" s="52">
        <v>12.69</v>
      </c>
      <c r="I62" s="49">
        <v>8.67</v>
      </c>
      <c r="J62" s="52">
        <v>1</v>
      </c>
      <c r="K62" s="50">
        <f t="shared" si="8"/>
        <v>1877732.1769000001</v>
      </c>
      <c r="L62" s="47" t="s">
        <v>97</v>
      </c>
      <c r="M62" s="86">
        <f t="shared" si="7"/>
        <v>1877732.1769000001</v>
      </c>
      <c r="N62" s="86">
        <f t="shared" si="6"/>
        <v>1577732.1769000001</v>
      </c>
      <c r="O62" s="52"/>
      <c r="P62" s="53">
        <v>148</v>
      </c>
      <c r="R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row>
    <row r="63" spans="1:45" x14ac:dyDescent="0.2">
      <c r="A63" s="46" t="s">
        <v>56</v>
      </c>
      <c r="B63" s="47">
        <v>2</v>
      </c>
      <c r="C63" s="47">
        <v>12</v>
      </c>
      <c r="D63" s="47" t="s">
        <v>47</v>
      </c>
      <c r="E63" s="52">
        <v>2</v>
      </c>
      <c r="F63" s="52">
        <v>4</v>
      </c>
      <c r="G63" s="52">
        <v>100.08</v>
      </c>
      <c r="H63" s="52">
        <v>12.69</v>
      </c>
      <c r="I63" s="49">
        <v>8.98</v>
      </c>
      <c r="J63" s="47">
        <v>1</v>
      </c>
      <c r="K63" s="50">
        <f t="shared" si="8"/>
        <v>1880549.2475399999</v>
      </c>
      <c r="L63" s="47" t="s">
        <v>97</v>
      </c>
      <c r="M63" s="86">
        <f t="shared" si="7"/>
        <v>1880549.2475399999</v>
      </c>
      <c r="N63" s="86">
        <f t="shared" si="6"/>
        <v>1580549.2475399999</v>
      </c>
      <c r="O63" s="52"/>
      <c r="P63" s="53">
        <v>171</v>
      </c>
      <c r="R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row>
    <row r="64" spans="1:45" x14ac:dyDescent="0.2">
      <c r="A64" s="46" t="s">
        <v>56</v>
      </c>
      <c r="B64" s="47">
        <v>2</v>
      </c>
      <c r="C64" s="47">
        <v>13</v>
      </c>
      <c r="D64" s="47" t="s">
        <v>40</v>
      </c>
      <c r="E64" s="52">
        <v>3</v>
      </c>
      <c r="F64" s="47">
        <v>4</v>
      </c>
      <c r="G64" s="47">
        <v>100.65</v>
      </c>
      <c r="H64" s="47">
        <v>10.1</v>
      </c>
      <c r="I64" s="63">
        <v>4.53</v>
      </c>
      <c r="J64" s="47">
        <v>1</v>
      </c>
      <c r="K64" s="50">
        <f t="shared" si="8"/>
        <v>1846418.03192</v>
      </c>
      <c r="L64" s="47" t="s">
        <v>97</v>
      </c>
      <c r="M64" s="86">
        <f t="shared" si="7"/>
        <v>1846418.03192</v>
      </c>
      <c r="N64" s="86">
        <f t="shared" si="6"/>
        <v>1546418.03192</v>
      </c>
      <c r="O64" s="52"/>
      <c r="P64" s="53">
        <v>25</v>
      </c>
      <c r="R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row>
    <row r="65" spans="1:45" x14ac:dyDescent="0.2">
      <c r="A65" s="46" t="s">
        <v>56</v>
      </c>
      <c r="B65" s="47">
        <v>2</v>
      </c>
      <c r="C65" s="47">
        <v>14</v>
      </c>
      <c r="D65" s="47" t="s">
        <v>41</v>
      </c>
      <c r="E65" s="52">
        <v>3</v>
      </c>
      <c r="F65" s="52">
        <v>3</v>
      </c>
      <c r="G65" s="52">
        <v>78.87</v>
      </c>
      <c r="H65" s="47">
        <v>11.250999999999999</v>
      </c>
      <c r="I65" s="49">
        <v>5.87</v>
      </c>
      <c r="J65" s="47">
        <v>1</v>
      </c>
      <c r="K65" s="50">
        <f t="shared" si="8"/>
        <v>1487435.628358</v>
      </c>
      <c r="L65" s="47" t="s">
        <v>97</v>
      </c>
      <c r="M65" s="86">
        <f t="shared" si="7"/>
        <v>1487435.628358</v>
      </c>
      <c r="N65" s="86">
        <f t="shared" si="6"/>
        <v>1189948.5026864</v>
      </c>
      <c r="O65" s="52"/>
      <c r="P65" s="53">
        <v>165</v>
      </c>
      <c r="R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row>
    <row r="66" spans="1:45" x14ac:dyDescent="0.2">
      <c r="A66" s="46" t="s">
        <v>56</v>
      </c>
      <c r="B66" s="47">
        <v>2</v>
      </c>
      <c r="C66" s="47">
        <v>15</v>
      </c>
      <c r="D66" s="47" t="s">
        <v>43</v>
      </c>
      <c r="E66" s="52">
        <v>3</v>
      </c>
      <c r="F66" s="52">
        <v>3</v>
      </c>
      <c r="G66" s="52">
        <v>78.62</v>
      </c>
      <c r="H66" s="52">
        <v>11.252000000000001</v>
      </c>
      <c r="I66" s="49">
        <v>5.65</v>
      </c>
      <c r="J66" s="47">
        <v>1</v>
      </c>
      <c r="K66" s="50">
        <f t="shared" si="8"/>
        <v>1481634.8676560002</v>
      </c>
      <c r="L66" s="47" t="s">
        <v>97</v>
      </c>
      <c r="M66" s="86">
        <f t="shared" si="7"/>
        <v>1481634.8676560002</v>
      </c>
      <c r="N66" s="86">
        <f t="shared" si="6"/>
        <v>1185307.8941248001</v>
      </c>
      <c r="O66" s="52"/>
      <c r="P66" s="53">
        <v>170</v>
      </c>
      <c r="R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row>
    <row r="67" spans="1:45" x14ac:dyDescent="0.2">
      <c r="A67" s="46" t="s">
        <v>56</v>
      </c>
      <c r="B67" s="47">
        <v>2</v>
      </c>
      <c r="C67" s="47">
        <v>16</v>
      </c>
      <c r="D67" s="47" t="s">
        <v>45</v>
      </c>
      <c r="E67" s="52">
        <v>3</v>
      </c>
      <c r="F67" s="52">
        <v>4</v>
      </c>
      <c r="G67" s="52">
        <v>100.04</v>
      </c>
      <c r="H67" s="52">
        <v>12.69</v>
      </c>
      <c r="I67" s="63">
        <v>4.92</v>
      </c>
      <c r="J67" s="47">
        <v>1</v>
      </c>
      <c r="K67" s="50">
        <f t="shared" si="8"/>
        <v>1851966.2868999999</v>
      </c>
      <c r="L67" s="47" t="s">
        <v>97</v>
      </c>
      <c r="M67" s="86">
        <f t="shared" si="7"/>
        <v>1851966.2868999999</v>
      </c>
      <c r="N67" s="86">
        <f t="shared" si="6"/>
        <v>1551966.2868999999</v>
      </c>
      <c r="O67" s="52"/>
      <c r="P67" s="53">
        <v>161</v>
      </c>
      <c r="R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row>
    <row r="68" spans="1:45" x14ac:dyDescent="0.2">
      <c r="A68" s="46" t="s">
        <v>56</v>
      </c>
      <c r="B68" s="47">
        <v>2</v>
      </c>
      <c r="C68" s="47">
        <v>17</v>
      </c>
      <c r="D68" s="47" t="s">
        <v>47</v>
      </c>
      <c r="E68" s="52">
        <v>3</v>
      </c>
      <c r="F68" s="52">
        <v>4</v>
      </c>
      <c r="G68" s="52">
        <v>100.08</v>
      </c>
      <c r="H68" s="52">
        <v>12.69</v>
      </c>
      <c r="I68" s="49">
        <v>4.95</v>
      </c>
      <c r="J68" s="47">
        <v>1</v>
      </c>
      <c r="K68" s="50">
        <f t="shared" si="8"/>
        <v>1852859.5044199999</v>
      </c>
      <c r="L68" s="47" t="s">
        <v>97</v>
      </c>
      <c r="M68" s="86">
        <f t="shared" si="7"/>
        <v>1852859.5044199999</v>
      </c>
      <c r="N68" s="86">
        <f t="shared" si="6"/>
        <v>1552859.5044199999</v>
      </c>
      <c r="O68" s="52"/>
      <c r="P68" s="53">
        <v>162</v>
      </c>
      <c r="R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row>
    <row r="69" spans="1:45" x14ac:dyDescent="0.2">
      <c r="A69" s="46" t="s">
        <v>56</v>
      </c>
      <c r="B69" s="47">
        <v>2</v>
      </c>
      <c r="C69" s="47">
        <v>18</v>
      </c>
      <c r="D69" s="47" t="s">
        <v>40</v>
      </c>
      <c r="E69" s="52">
        <v>4</v>
      </c>
      <c r="F69" s="47">
        <v>4</v>
      </c>
      <c r="G69" s="47">
        <v>100.65</v>
      </c>
      <c r="H69" s="47">
        <v>10.1</v>
      </c>
      <c r="I69" s="49">
        <v>5.18</v>
      </c>
      <c r="J69" s="47">
        <v>1</v>
      </c>
      <c r="K69" s="50">
        <f t="shared" si="8"/>
        <v>1850884.1195199999</v>
      </c>
      <c r="L69" s="47" t="s">
        <v>97</v>
      </c>
      <c r="M69" s="86">
        <f t="shared" si="7"/>
        <v>1850884.1195199999</v>
      </c>
      <c r="N69" s="86">
        <f t="shared" si="6"/>
        <v>1550884.1195199999</v>
      </c>
      <c r="O69" s="52"/>
      <c r="P69" s="53">
        <v>155</v>
      </c>
      <c r="R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row>
    <row r="70" spans="1:45" x14ac:dyDescent="0.2">
      <c r="A70" s="46" t="s">
        <v>56</v>
      </c>
      <c r="B70" s="47">
        <v>2</v>
      </c>
      <c r="C70" s="47">
        <v>19</v>
      </c>
      <c r="D70" s="47" t="s">
        <v>41</v>
      </c>
      <c r="E70" s="52">
        <v>4</v>
      </c>
      <c r="F70" s="52">
        <v>3</v>
      </c>
      <c r="G70" s="52">
        <v>78.87</v>
      </c>
      <c r="H70" s="47">
        <v>11.250999999999999</v>
      </c>
      <c r="I70" s="63">
        <v>5.89</v>
      </c>
      <c r="J70" s="47">
        <v>1</v>
      </c>
      <c r="K70" s="50">
        <f t="shared" si="8"/>
        <v>1487573.0464379997</v>
      </c>
      <c r="L70" s="47" t="s">
        <v>97</v>
      </c>
      <c r="M70" s="86">
        <f t="shared" si="7"/>
        <v>1487573.0464379997</v>
      </c>
      <c r="N70" s="86">
        <f t="shared" si="6"/>
        <v>1190058.4371503997</v>
      </c>
      <c r="O70" s="52"/>
      <c r="P70" s="53">
        <v>166</v>
      </c>
      <c r="R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row>
    <row r="71" spans="1:45" x14ac:dyDescent="0.2">
      <c r="A71" s="46" t="s">
        <v>56</v>
      </c>
      <c r="B71" s="47">
        <v>2</v>
      </c>
      <c r="C71" s="47">
        <v>20</v>
      </c>
      <c r="D71" s="47" t="s">
        <v>43</v>
      </c>
      <c r="E71" s="52">
        <v>4</v>
      </c>
      <c r="F71" s="52">
        <v>3</v>
      </c>
      <c r="G71" s="52">
        <v>78.62</v>
      </c>
      <c r="H71" s="52">
        <v>11.252000000000001</v>
      </c>
      <c r="I71" s="49">
        <v>5.89</v>
      </c>
      <c r="J71" s="47">
        <v>1</v>
      </c>
      <c r="K71" s="50">
        <f t="shared" si="8"/>
        <v>1483283.8846159999</v>
      </c>
      <c r="L71" s="47" t="s">
        <v>97</v>
      </c>
      <c r="M71" s="86">
        <f t="shared" si="7"/>
        <v>1483283.8846159999</v>
      </c>
      <c r="N71" s="86">
        <f t="shared" si="6"/>
        <v>1186627.1076928</v>
      </c>
      <c r="O71" s="52"/>
      <c r="P71" s="53">
        <v>158</v>
      </c>
      <c r="R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row>
    <row r="72" spans="1:45" x14ac:dyDescent="0.2">
      <c r="A72" s="46" t="s">
        <v>56</v>
      </c>
      <c r="B72" s="47">
        <v>2</v>
      </c>
      <c r="C72" s="47">
        <v>21</v>
      </c>
      <c r="D72" s="47" t="s">
        <v>45</v>
      </c>
      <c r="E72" s="52">
        <v>4</v>
      </c>
      <c r="F72" s="52">
        <v>4</v>
      </c>
      <c r="G72" s="52">
        <v>100.04</v>
      </c>
      <c r="H72" s="52">
        <v>12.69</v>
      </c>
      <c r="I72" s="49">
        <v>5.28</v>
      </c>
      <c r="J72" s="47">
        <v>1</v>
      </c>
      <c r="K72" s="50">
        <f t="shared" si="8"/>
        <v>1854439.8123399999</v>
      </c>
      <c r="L72" s="47" t="s">
        <v>97</v>
      </c>
      <c r="M72" s="86">
        <f t="shared" si="7"/>
        <v>1854439.8123399999</v>
      </c>
      <c r="N72" s="86">
        <f t="shared" si="6"/>
        <v>1554439.8123399999</v>
      </c>
      <c r="O72" s="52"/>
      <c r="P72" s="53">
        <v>33</v>
      </c>
      <c r="R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row>
    <row r="73" spans="1:45" x14ac:dyDescent="0.2">
      <c r="A73" s="46" t="s">
        <v>56</v>
      </c>
      <c r="B73" s="47">
        <v>2</v>
      </c>
      <c r="C73" s="47">
        <v>22</v>
      </c>
      <c r="D73" s="47" t="s">
        <v>47</v>
      </c>
      <c r="E73" s="52">
        <v>4</v>
      </c>
      <c r="F73" s="52">
        <v>4</v>
      </c>
      <c r="G73" s="52">
        <v>100.08</v>
      </c>
      <c r="H73" s="52">
        <v>12.69</v>
      </c>
      <c r="I73" s="49">
        <v>5.69</v>
      </c>
      <c r="J73" s="47">
        <v>1</v>
      </c>
      <c r="K73" s="50">
        <f t="shared" si="8"/>
        <v>1857943.9733799999</v>
      </c>
      <c r="L73" s="47" t="s">
        <v>97</v>
      </c>
      <c r="M73" s="86">
        <f t="shared" si="7"/>
        <v>1857943.9733799999</v>
      </c>
      <c r="N73" s="86">
        <f t="shared" si="6"/>
        <v>1557943.9733799999</v>
      </c>
      <c r="O73" s="52"/>
      <c r="P73" s="53">
        <v>32</v>
      </c>
      <c r="R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row>
    <row r="74" spans="1:45" x14ac:dyDescent="0.2">
      <c r="A74" s="46" t="s">
        <v>56</v>
      </c>
      <c r="B74" s="47">
        <v>2</v>
      </c>
      <c r="C74" s="47">
        <v>23</v>
      </c>
      <c r="D74" s="47" t="s">
        <v>40</v>
      </c>
      <c r="E74" s="52">
        <v>5</v>
      </c>
      <c r="F74" s="47">
        <v>4</v>
      </c>
      <c r="G74" s="47">
        <v>100.65</v>
      </c>
      <c r="H74" s="47">
        <v>10.1</v>
      </c>
      <c r="I74" s="63">
        <v>5.75</v>
      </c>
      <c r="J74" s="47">
        <v>1</v>
      </c>
      <c r="K74" s="50">
        <f t="shared" si="8"/>
        <v>1854800.5347999998</v>
      </c>
      <c r="L74" s="47" t="s">
        <v>97</v>
      </c>
      <c r="M74" s="86">
        <f t="shared" si="7"/>
        <v>1854800.5347999998</v>
      </c>
      <c r="N74" s="86">
        <f t="shared" si="6"/>
        <v>1554800.5347999998</v>
      </c>
      <c r="O74" s="52"/>
      <c r="P74" s="53">
        <v>163</v>
      </c>
      <c r="R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row>
    <row r="75" spans="1:45" x14ac:dyDescent="0.2">
      <c r="A75" s="46" t="s">
        <v>56</v>
      </c>
      <c r="B75" s="47">
        <v>2</v>
      </c>
      <c r="C75" s="47">
        <v>24</v>
      </c>
      <c r="D75" s="47" t="s">
        <v>41</v>
      </c>
      <c r="E75" s="52">
        <v>5</v>
      </c>
      <c r="F75" s="52">
        <v>3</v>
      </c>
      <c r="G75" s="52">
        <v>78.87</v>
      </c>
      <c r="H75" s="47">
        <v>11.250999999999999</v>
      </c>
      <c r="I75" s="49">
        <v>5.99</v>
      </c>
      <c r="J75" s="47">
        <v>1</v>
      </c>
      <c r="K75" s="50">
        <f t="shared" si="8"/>
        <v>1488260.1368379998</v>
      </c>
      <c r="L75" s="47" t="s">
        <v>97</v>
      </c>
      <c r="M75" s="86">
        <f t="shared" si="7"/>
        <v>1488260.1368379998</v>
      </c>
      <c r="N75" s="86">
        <f t="shared" si="6"/>
        <v>1190608.1094703998</v>
      </c>
      <c r="O75" s="52"/>
      <c r="P75" s="53">
        <v>172</v>
      </c>
      <c r="R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row>
    <row r="76" spans="1:45" x14ac:dyDescent="0.2">
      <c r="A76" s="46" t="s">
        <v>56</v>
      </c>
      <c r="B76" s="47">
        <v>2</v>
      </c>
      <c r="C76" s="47">
        <v>25</v>
      </c>
      <c r="D76" s="47" t="s">
        <v>43</v>
      </c>
      <c r="E76" s="52">
        <v>5</v>
      </c>
      <c r="F76" s="52">
        <v>3</v>
      </c>
      <c r="G76" s="52">
        <v>78.62</v>
      </c>
      <c r="H76" s="52">
        <v>11.252000000000001</v>
      </c>
      <c r="I76" s="49">
        <v>5.98</v>
      </c>
      <c r="J76" s="47">
        <v>1</v>
      </c>
      <c r="K76" s="50">
        <f t="shared" si="8"/>
        <v>1483902.2659759999</v>
      </c>
      <c r="L76" s="47" t="s">
        <v>97</v>
      </c>
      <c r="M76" s="86">
        <f t="shared" si="7"/>
        <v>1483902.2659759999</v>
      </c>
      <c r="N76" s="86">
        <f t="shared" ref="N76:N133" si="9">M76-MIN(300000,20%*M76)</f>
        <v>1187121.8127807998</v>
      </c>
      <c r="O76" s="52"/>
      <c r="P76" s="53">
        <v>129</v>
      </c>
      <c r="R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row>
    <row r="77" spans="1:45" x14ac:dyDescent="0.2">
      <c r="A77" s="46" t="s">
        <v>56</v>
      </c>
      <c r="B77" s="47">
        <v>2</v>
      </c>
      <c r="C77" s="47">
        <v>26</v>
      </c>
      <c r="D77" s="47" t="s">
        <v>45</v>
      </c>
      <c r="E77" s="52">
        <v>5</v>
      </c>
      <c r="F77" s="52">
        <v>4</v>
      </c>
      <c r="G77" s="52">
        <v>100.04</v>
      </c>
      <c r="H77" s="52">
        <v>12.69</v>
      </c>
      <c r="I77" s="63">
        <v>5.82</v>
      </c>
      <c r="J77" s="47">
        <v>1</v>
      </c>
      <c r="K77" s="50">
        <f t="shared" si="8"/>
        <v>1858150.1004999999</v>
      </c>
      <c r="L77" s="47" t="s">
        <v>97</v>
      </c>
      <c r="M77" s="86">
        <f t="shared" si="7"/>
        <v>1858150.1004999999</v>
      </c>
      <c r="N77" s="86">
        <f t="shared" si="9"/>
        <v>1558150.1004999999</v>
      </c>
      <c r="O77" s="52"/>
      <c r="P77" s="53">
        <v>24</v>
      </c>
      <c r="R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row>
    <row r="78" spans="1:45" x14ac:dyDescent="0.2">
      <c r="A78" s="46" t="s">
        <v>56</v>
      </c>
      <c r="B78" s="47">
        <v>2</v>
      </c>
      <c r="C78" s="47">
        <v>27</v>
      </c>
      <c r="D78" s="47" t="s">
        <v>47</v>
      </c>
      <c r="E78" s="52">
        <v>5</v>
      </c>
      <c r="F78" s="52">
        <v>4</v>
      </c>
      <c r="G78" s="52">
        <v>100.08</v>
      </c>
      <c r="H78" s="52">
        <v>12.69</v>
      </c>
      <c r="I78" s="49">
        <v>5.95</v>
      </c>
      <c r="J78" s="47">
        <v>1</v>
      </c>
      <c r="K78" s="50">
        <f t="shared" si="8"/>
        <v>1859730.4084199998</v>
      </c>
      <c r="L78" s="47" t="s">
        <v>97</v>
      </c>
      <c r="M78" s="86">
        <f t="shared" si="7"/>
        <v>1859730.4084199998</v>
      </c>
      <c r="N78" s="86">
        <f t="shared" si="9"/>
        <v>1559730.4084199998</v>
      </c>
      <c r="O78" s="52"/>
      <c r="P78" s="53">
        <v>23</v>
      </c>
      <c r="R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row>
    <row r="79" spans="1:45" x14ac:dyDescent="0.2">
      <c r="A79" s="46" t="s">
        <v>56</v>
      </c>
      <c r="B79" s="47">
        <v>2</v>
      </c>
      <c r="C79" s="47">
        <v>28</v>
      </c>
      <c r="D79" s="47" t="s">
        <v>40</v>
      </c>
      <c r="E79" s="52">
        <v>6</v>
      </c>
      <c r="F79" s="47">
        <v>4</v>
      </c>
      <c r="G79" s="47">
        <v>100.65</v>
      </c>
      <c r="H79" s="47">
        <v>10.1</v>
      </c>
      <c r="I79" s="49">
        <v>5.97</v>
      </c>
      <c r="J79" s="47">
        <v>1</v>
      </c>
      <c r="K79" s="50">
        <f t="shared" si="8"/>
        <v>1856312.13368</v>
      </c>
      <c r="L79" s="47" t="s">
        <v>97</v>
      </c>
      <c r="M79" s="86">
        <f t="shared" si="7"/>
        <v>1856312.13368</v>
      </c>
      <c r="N79" s="86">
        <f t="shared" si="9"/>
        <v>1556312.13368</v>
      </c>
      <c r="O79" s="52"/>
      <c r="P79" s="53">
        <v>28</v>
      </c>
      <c r="R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row>
    <row r="80" spans="1:45" x14ac:dyDescent="0.2">
      <c r="A80" s="46" t="s">
        <v>56</v>
      </c>
      <c r="B80" s="47">
        <v>2</v>
      </c>
      <c r="C80" s="47">
        <v>29</v>
      </c>
      <c r="D80" s="47" t="s">
        <v>41</v>
      </c>
      <c r="E80" s="52">
        <v>6</v>
      </c>
      <c r="F80" s="52">
        <v>3</v>
      </c>
      <c r="G80" s="52">
        <v>78.87</v>
      </c>
      <c r="H80" s="47">
        <v>11.250999999999999</v>
      </c>
      <c r="I80" s="63">
        <v>6.14</v>
      </c>
      <c r="J80" s="47">
        <v>1</v>
      </c>
      <c r="K80" s="50">
        <f t="shared" si="8"/>
        <v>1489290.772438</v>
      </c>
      <c r="L80" s="47" t="s">
        <v>97</v>
      </c>
      <c r="M80" s="86">
        <f t="shared" si="7"/>
        <v>1489290.772438</v>
      </c>
      <c r="N80" s="86">
        <f t="shared" si="9"/>
        <v>1191432.6179503999</v>
      </c>
      <c r="O80" s="52"/>
      <c r="P80" s="53">
        <v>164</v>
      </c>
      <c r="R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row>
    <row r="81" spans="1:45" x14ac:dyDescent="0.2">
      <c r="A81" s="46" t="s">
        <v>56</v>
      </c>
      <c r="B81" s="47">
        <v>2</v>
      </c>
      <c r="C81" s="47">
        <v>30</v>
      </c>
      <c r="D81" s="47" t="s">
        <v>43</v>
      </c>
      <c r="E81" s="52">
        <v>6</v>
      </c>
      <c r="F81" s="52">
        <v>3</v>
      </c>
      <c r="G81" s="52">
        <v>78.62</v>
      </c>
      <c r="H81" s="52">
        <v>11.252000000000001</v>
      </c>
      <c r="I81" s="49">
        <v>6.13</v>
      </c>
      <c r="J81" s="47">
        <v>1</v>
      </c>
      <c r="K81" s="50">
        <f t="shared" si="8"/>
        <v>1484932.901576</v>
      </c>
      <c r="L81" s="47" t="s">
        <v>97</v>
      </c>
      <c r="M81" s="86">
        <f t="shared" si="7"/>
        <v>1484932.901576</v>
      </c>
      <c r="N81" s="86">
        <f t="shared" si="9"/>
        <v>1187946.3212608001</v>
      </c>
      <c r="O81" s="52"/>
      <c r="P81" s="53">
        <v>147</v>
      </c>
      <c r="R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row>
    <row r="82" spans="1:45" x14ac:dyDescent="0.2">
      <c r="A82" s="46" t="s">
        <v>56</v>
      </c>
      <c r="B82" s="47">
        <v>2</v>
      </c>
      <c r="C82" s="47">
        <v>31</v>
      </c>
      <c r="D82" s="47" t="s">
        <v>45</v>
      </c>
      <c r="E82" s="52">
        <v>6</v>
      </c>
      <c r="F82" s="52">
        <v>4</v>
      </c>
      <c r="G82" s="52">
        <v>100.04</v>
      </c>
      <c r="H82" s="52">
        <v>12.69</v>
      </c>
      <c r="I82" s="49">
        <v>6.28</v>
      </c>
      <c r="J82" s="47">
        <v>1</v>
      </c>
      <c r="K82" s="50">
        <f t="shared" si="8"/>
        <v>1861310.71634</v>
      </c>
      <c r="L82" s="47" t="s">
        <v>97</v>
      </c>
      <c r="M82" s="86">
        <f t="shared" si="7"/>
        <v>1861310.71634</v>
      </c>
      <c r="N82" s="86">
        <f t="shared" si="9"/>
        <v>1561310.71634</v>
      </c>
      <c r="O82" s="52"/>
      <c r="P82" s="53">
        <v>29</v>
      </c>
      <c r="R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row>
    <row r="83" spans="1:45" x14ac:dyDescent="0.2">
      <c r="A83" s="46" t="s">
        <v>56</v>
      </c>
      <c r="B83" s="47">
        <v>2</v>
      </c>
      <c r="C83" s="47">
        <v>32</v>
      </c>
      <c r="D83" s="47" t="s">
        <v>47</v>
      </c>
      <c r="E83" s="52">
        <v>6</v>
      </c>
      <c r="F83" s="52">
        <v>4</v>
      </c>
      <c r="G83" s="52">
        <v>100.08</v>
      </c>
      <c r="H83" s="52">
        <v>12.69</v>
      </c>
      <c r="I83" s="63">
        <v>6.4</v>
      </c>
      <c r="J83" s="47">
        <v>1</v>
      </c>
      <c r="K83" s="50">
        <f t="shared" si="8"/>
        <v>1862822.31522</v>
      </c>
      <c r="L83" s="47" t="s">
        <v>97</v>
      </c>
      <c r="M83" s="86">
        <f t="shared" si="7"/>
        <v>1862822.31522</v>
      </c>
      <c r="N83" s="86">
        <f t="shared" si="9"/>
        <v>1562822.31522</v>
      </c>
      <c r="O83" s="52"/>
      <c r="P83" s="53">
        <v>41</v>
      </c>
      <c r="R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row>
    <row r="84" spans="1:45" x14ac:dyDescent="0.2">
      <c r="A84" s="46" t="s">
        <v>56</v>
      </c>
      <c r="B84" s="47">
        <v>2</v>
      </c>
      <c r="C84" s="47">
        <v>33</v>
      </c>
      <c r="D84" s="47" t="s">
        <v>40</v>
      </c>
      <c r="E84" s="52">
        <v>7</v>
      </c>
      <c r="F84" s="47">
        <v>4</v>
      </c>
      <c r="G84" s="47">
        <v>100.65</v>
      </c>
      <c r="H84" s="47">
        <v>10.1</v>
      </c>
      <c r="I84" s="49">
        <v>6.53</v>
      </c>
      <c r="J84" s="47">
        <v>1</v>
      </c>
      <c r="K84" s="50">
        <f t="shared" si="8"/>
        <v>1860159.8399199999</v>
      </c>
      <c r="L84" s="47" t="s">
        <v>97</v>
      </c>
      <c r="M84" s="86">
        <f t="shared" si="7"/>
        <v>1860159.8399199999</v>
      </c>
      <c r="N84" s="86">
        <f t="shared" si="9"/>
        <v>1560159.8399199999</v>
      </c>
      <c r="O84" s="52"/>
      <c r="P84" s="53">
        <v>22</v>
      </c>
      <c r="R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row>
    <row r="85" spans="1:45" x14ac:dyDescent="0.2">
      <c r="A85" s="46" t="s">
        <v>56</v>
      </c>
      <c r="B85" s="47">
        <v>2</v>
      </c>
      <c r="C85" s="47">
        <v>34</v>
      </c>
      <c r="D85" s="47" t="s">
        <v>41</v>
      </c>
      <c r="E85" s="52">
        <v>7</v>
      </c>
      <c r="F85" s="52">
        <v>3</v>
      </c>
      <c r="G85" s="52">
        <v>78.87</v>
      </c>
      <c r="H85" s="47">
        <v>11.250999999999999</v>
      </c>
      <c r="I85" s="49">
        <v>6.62</v>
      </c>
      <c r="J85" s="47">
        <v>1</v>
      </c>
      <c r="K85" s="50">
        <f t="shared" si="8"/>
        <v>1492588.8063579998</v>
      </c>
      <c r="L85" s="47" t="s">
        <v>97</v>
      </c>
      <c r="M85" s="86">
        <f t="shared" si="7"/>
        <v>1492588.8063579998</v>
      </c>
      <c r="N85" s="86">
        <f t="shared" si="9"/>
        <v>1194071.0450863999</v>
      </c>
      <c r="O85" s="52"/>
      <c r="P85" s="53">
        <v>130</v>
      </c>
      <c r="R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row>
    <row r="86" spans="1:45" x14ac:dyDescent="0.2">
      <c r="A86" s="46" t="s">
        <v>56</v>
      </c>
      <c r="B86" s="47">
        <v>2</v>
      </c>
      <c r="C86" s="47">
        <v>35</v>
      </c>
      <c r="D86" s="47" t="s">
        <v>43</v>
      </c>
      <c r="E86" s="52">
        <v>7</v>
      </c>
      <c r="F86" s="52">
        <v>3</v>
      </c>
      <c r="G86" s="52">
        <v>78.62</v>
      </c>
      <c r="H86" s="52">
        <v>11.252000000000001</v>
      </c>
      <c r="I86" s="63">
        <v>6.45</v>
      </c>
      <c r="J86" s="47">
        <v>1</v>
      </c>
      <c r="K86" s="50">
        <f t="shared" si="8"/>
        <v>1487131.5908560001</v>
      </c>
      <c r="L86" s="47" t="s">
        <v>97</v>
      </c>
      <c r="M86" s="86">
        <f t="shared" si="7"/>
        <v>1487131.5908560001</v>
      </c>
      <c r="N86" s="86">
        <f t="shared" si="9"/>
        <v>1189705.2726848</v>
      </c>
      <c r="O86" s="52"/>
      <c r="P86" s="53">
        <v>169</v>
      </c>
      <c r="R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row>
    <row r="87" spans="1:45" x14ac:dyDescent="0.2">
      <c r="A87" s="46" t="s">
        <v>56</v>
      </c>
      <c r="B87" s="47">
        <v>2</v>
      </c>
      <c r="C87" s="47">
        <v>36</v>
      </c>
      <c r="D87" s="47" t="s">
        <v>45</v>
      </c>
      <c r="E87" s="52">
        <v>7</v>
      </c>
      <c r="F87" s="52">
        <v>4</v>
      </c>
      <c r="G87" s="52">
        <v>100.04</v>
      </c>
      <c r="H87" s="52">
        <v>12.69</v>
      </c>
      <c r="I87" s="49">
        <v>6.86</v>
      </c>
      <c r="J87" s="47">
        <v>1</v>
      </c>
      <c r="K87" s="50">
        <f t="shared" si="8"/>
        <v>1865295.84066</v>
      </c>
      <c r="L87" s="47" t="s">
        <v>97</v>
      </c>
      <c r="M87" s="86">
        <f t="shared" si="7"/>
        <v>1865295.84066</v>
      </c>
      <c r="N87" s="86">
        <f t="shared" si="9"/>
        <v>1565295.84066</v>
      </c>
      <c r="O87" s="52"/>
      <c r="P87" s="53">
        <v>167</v>
      </c>
      <c r="R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row>
    <row r="88" spans="1:45" x14ac:dyDescent="0.2">
      <c r="A88" s="46" t="s">
        <v>56</v>
      </c>
      <c r="B88" s="47">
        <v>2</v>
      </c>
      <c r="C88" s="47">
        <v>37</v>
      </c>
      <c r="D88" s="47" t="s">
        <v>47</v>
      </c>
      <c r="E88" s="52">
        <v>7</v>
      </c>
      <c r="F88" s="52">
        <v>4</v>
      </c>
      <c r="G88" s="52">
        <v>100.08</v>
      </c>
      <c r="H88" s="52">
        <v>12.69</v>
      </c>
      <c r="I88" s="49">
        <v>6.94</v>
      </c>
      <c r="J88" s="47">
        <v>1</v>
      </c>
      <c r="K88" s="50">
        <f t="shared" si="8"/>
        <v>1866532.6033799998</v>
      </c>
      <c r="L88" s="47" t="s">
        <v>97</v>
      </c>
      <c r="M88" s="86">
        <f t="shared" si="7"/>
        <v>1866532.6033799998</v>
      </c>
      <c r="N88" s="86">
        <f t="shared" si="9"/>
        <v>1566532.6033799998</v>
      </c>
      <c r="O88" s="52"/>
      <c r="P88" s="53">
        <v>27</v>
      </c>
      <c r="R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row>
    <row r="89" spans="1:45" ht="14.25" customHeight="1" x14ac:dyDescent="0.2">
      <c r="A89" s="46" t="s">
        <v>56</v>
      </c>
      <c r="B89" s="47">
        <v>2</v>
      </c>
      <c r="C89" s="47">
        <v>38</v>
      </c>
      <c r="D89" s="47" t="s">
        <v>50</v>
      </c>
      <c r="E89" s="52">
        <v>8</v>
      </c>
      <c r="F89" s="52">
        <v>6.5</v>
      </c>
      <c r="G89" s="52">
        <v>187</v>
      </c>
      <c r="H89" s="47">
        <v>70.62</v>
      </c>
      <c r="I89" s="49">
        <v>9.4</v>
      </c>
      <c r="J89" s="47">
        <v>1</v>
      </c>
      <c r="K89" s="50"/>
      <c r="L89" s="47" t="s">
        <v>98</v>
      </c>
      <c r="M89" s="86">
        <f t="shared" si="7"/>
        <v>0</v>
      </c>
      <c r="N89" s="86">
        <f t="shared" si="9"/>
        <v>0</v>
      </c>
      <c r="O89" s="52"/>
      <c r="P89" s="53">
        <v>45</v>
      </c>
      <c r="R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row>
    <row r="90" spans="1:45" x14ac:dyDescent="0.2">
      <c r="A90" s="46" t="s">
        <v>56</v>
      </c>
      <c r="B90" s="47">
        <v>2</v>
      </c>
      <c r="C90" s="47">
        <v>39</v>
      </c>
      <c r="D90" s="47" t="s">
        <v>51</v>
      </c>
      <c r="E90" s="52">
        <v>8</v>
      </c>
      <c r="F90" s="52">
        <v>6.5</v>
      </c>
      <c r="G90" s="52">
        <v>187.34</v>
      </c>
      <c r="H90" s="47">
        <v>70.63</v>
      </c>
      <c r="I90" s="63">
        <v>13.32</v>
      </c>
      <c r="J90" s="47">
        <v>1</v>
      </c>
      <c r="K90" s="50"/>
      <c r="L90" s="47" t="s">
        <v>98</v>
      </c>
      <c r="M90" s="86">
        <f t="shared" si="7"/>
        <v>0</v>
      </c>
      <c r="N90" s="86">
        <f t="shared" si="9"/>
        <v>0</v>
      </c>
      <c r="O90" s="52"/>
      <c r="P90" s="53">
        <v>46</v>
      </c>
      <c r="R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row>
    <row r="91" spans="1:45" x14ac:dyDescent="0.2">
      <c r="A91" s="46" t="s">
        <v>56</v>
      </c>
      <c r="B91" s="47">
        <v>2</v>
      </c>
      <c r="C91" s="47">
        <v>40</v>
      </c>
      <c r="D91" s="47" t="s">
        <v>52</v>
      </c>
      <c r="E91" s="52">
        <v>9</v>
      </c>
      <c r="F91" s="52">
        <v>5.5</v>
      </c>
      <c r="G91" s="52">
        <v>165.6</v>
      </c>
      <c r="H91" s="47">
        <v>54.12</v>
      </c>
      <c r="I91" s="63">
        <v>12.78</v>
      </c>
      <c r="J91" s="47">
        <v>1</v>
      </c>
      <c r="K91" s="50"/>
      <c r="L91" s="47" t="s">
        <v>98</v>
      </c>
      <c r="M91" s="86">
        <f t="shared" si="7"/>
        <v>0</v>
      </c>
      <c r="N91" s="86">
        <f t="shared" si="9"/>
        <v>0</v>
      </c>
      <c r="O91" s="52"/>
      <c r="P91" s="53">
        <v>43</v>
      </c>
      <c r="R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row>
    <row r="92" spans="1:45" ht="15" thickBot="1" x14ac:dyDescent="0.25">
      <c r="A92" s="70" t="s">
        <v>56</v>
      </c>
      <c r="B92" s="71">
        <v>2</v>
      </c>
      <c r="C92" s="71">
        <v>41</v>
      </c>
      <c r="D92" s="71" t="s">
        <v>53</v>
      </c>
      <c r="E92" s="72">
        <v>9</v>
      </c>
      <c r="F92" s="72">
        <v>5.5</v>
      </c>
      <c r="G92" s="72">
        <v>165.04</v>
      </c>
      <c r="H92" s="71">
        <v>54.38</v>
      </c>
      <c r="I92" s="87">
        <v>10.130000000000001</v>
      </c>
      <c r="J92" s="71">
        <v>1</v>
      </c>
      <c r="K92" s="75"/>
      <c r="L92" s="71" t="s">
        <v>98</v>
      </c>
      <c r="M92" s="88">
        <f t="shared" si="7"/>
        <v>0</v>
      </c>
      <c r="N92" s="88">
        <f t="shared" si="9"/>
        <v>0</v>
      </c>
      <c r="O92" s="72"/>
      <c r="P92" s="77">
        <v>44</v>
      </c>
      <c r="R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row>
    <row r="93" spans="1:45" ht="15.75" thickBot="1" x14ac:dyDescent="0.3">
      <c r="A93" s="78" t="s">
        <v>54</v>
      </c>
      <c r="B93" s="79"/>
      <c r="C93" s="80"/>
      <c r="D93" s="80"/>
      <c r="E93" s="80"/>
      <c r="F93" s="80"/>
      <c r="G93" s="81">
        <f>SUMIF(L52:L92,"כן",G52:G92)/COUNT(C52:C92)</f>
        <v>78.239512195121918</v>
      </c>
      <c r="I93" s="200" t="s">
        <v>55</v>
      </c>
      <c r="J93" s="201"/>
      <c r="K93" s="201"/>
      <c r="L93" s="82">
        <f>COUNTIF(L52:L92,"כן")/COUNT(C52:C92)</f>
        <v>0.85365853658536583</v>
      </c>
      <c r="M93" s="82"/>
      <c r="N93" s="82"/>
      <c r="O93" s="83"/>
      <c r="P93" s="89"/>
      <c r="R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row>
    <row r="94" spans="1:45" ht="14.25" customHeight="1" x14ac:dyDescent="0.2">
      <c r="A94" s="33" t="s">
        <v>59</v>
      </c>
      <c r="B94" s="34">
        <v>2</v>
      </c>
      <c r="C94" s="34">
        <v>1</v>
      </c>
      <c r="D94" s="34" t="s">
        <v>60</v>
      </c>
      <c r="E94" s="35" t="s">
        <v>37</v>
      </c>
      <c r="F94" s="35">
        <v>6</v>
      </c>
      <c r="G94" s="35">
        <v>146.59</v>
      </c>
      <c r="H94" s="35">
        <f>84.19+13.5</f>
        <v>97.69</v>
      </c>
      <c r="I94" s="36">
        <v>6.19</v>
      </c>
      <c r="J94" s="34">
        <v>1</v>
      </c>
      <c r="K94" s="38"/>
      <c r="L94" s="35" t="s">
        <v>98</v>
      </c>
      <c r="M94" s="90">
        <f>K94</f>
        <v>0</v>
      </c>
      <c r="N94" s="90">
        <f t="shared" si="9"/>
        <v>0</v>
      </c>
      <c r="O94" s="35"/>
      <c r="P94" s="85">
        <v>40</v>
      </c>
      <c r="R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row>
    <row r="95" spans="1:45" ht="14.25" customHeight="1" x14ac:dyDescent="0.2">
      <c r="A95" s="46" t="s">
        <v>59</v>
      </c>
      <c r="B95" s="47">
        <v>2</v>
      </c>
      <c r="C95" s="47">
        <v>2</v>
      </c>
      <c r="D95" s="47" t="s">
        <v>61</v>
      </c>
      <c r="E95" s="47" t="s">
        <v>37</v>
      </c>
      <c r="F95" s="47">
        <v>6</v>
      </c>
      <c r="G95" s="47">
        <v>152.16</v>
      </c>
      <c r="H95" s="47">
        <f>28.8+13.47</f>
        <v>42.27</v>
      </c>
      <c r="I95" s="49">
        <v>12.33</v>
      </c>
      <c r="J95" s="47">
        <v>1</v>
      </c>
      <c r="K95" s="50"/>
      <c r="L95" s="52" t="s">
        <v>98</v>
      </c>
      <c r="M95" s="91">
        <f t="shared" ref="M95:M133" si="10">K95</f>
        <v>0</v>
      </c>
      <c r="N95" s="91">
        <f t="shared" si="9"/>
        <v>0</v>
      </c>
      <c r="O95" s="52"/>
      <c r="P95" s="53">
        <v>144</v>
      </c>
      <c r="R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row>
    <row r="96" spans="1:45" ht="14.25" customHeight="1" x14ac:dyDescent="0.2">
      <c r="A96" s="46" t="s">
        <v>59</v>
      </c>
      <c r="B96" s="47">
        <v>2</v>
      </c>
      <c r="C96" s="47">
        <v>3</v>
      </c>
      <c r="D96" s="47" t="s">
        <v>40</v>
      </c>
      <c r="E96" s="47">
        <v>1</v>
      </c>
      <c r="F96" s="47">
        <v>4</v>
      </c>
      <c r="G96" s="47">
        <v>100.65</v>
      </c>
      <c r="H96" s="47">
        <v>10.01</v>
      </c>
      <c r="I96" s="49">
        <v>7.08</v>
      </c>
      <c r="J96" s="47">
        <v>1</v>
      </c>
      <c r="K96" s="50">
        <f t="shared" ref="K96:K129" si="11">((IF(G96&gt;VLOOKUP(F96,$AO$15:$AP$24,2,FALSE),((G96-VLOOKUP(F96,$AO$15:$AP$24,2,FALSE))*85%+VLOOKUP(F96,$AO$15:$AP$24,2,FALSE)),G96))+IF(H96&gt;30,30*$AL$18+IF(H96&gt;60,30*$AL$19+IF(H96&gt;120,60*$AL$20,(H96-60)*$AL$20),(H96-30)*$AL$19),H96*$AL$18)+$AL$23*I96+J96*$AL$24)*$O$4</f>
        <v>1863475.0510999998</v>
      </c>
      <c r="L96" s="52" t="s">
        <v>97</v>
      </c>
      <c r="M96" s="91">
        <f t="shared" si="10"/>
        <v>1863475.0510999998</v>
      </c>
      <c r="N96" s="91">
        <f t="shared" si="9"/>
        <v>1563475.0510999998</v>
      </c>
      <c r="O96" s="52"/>
      <c r="P96" s="53">
        <v>143</v>
      </c>
      <c r="R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row>
    <row r="97" spans="1:45" ht="14.25" customHeight="1" x14ac:dyDescent="0.2">
      <c r="A97" s="46" t="s">
        <v>59</v>
      </c>
      <c r="B97" s="47">
        <v>2</v>
      </c>
      <c r="C97" s="47">
        <v>4</v>
      </c>
      <c r="D97" s="47" t="s">
        <v>41</v>
      </c>
      <c r="E97" s="52">
        <v>1</v>
      </c>
      <c r="F97" s="52">
        <v>3</v>
      </c>
      <c r="G97" s="52">
        <v>78.819999999999993</v>
      </c>
      <c r="H97" s="52">
        <v>11.25</v>
      </c>
      <c r="I97" s="63">
        <v>5.15</v>
      </c>
      <c r="J97" s="47">
        <v>1</v>
      </c>
      <c r="K97" s="50">
        <f t="shared" si="11"/>
        <v>1481624.5612999997</v>
      </c>
      <c r="L97" s="52" t="s">
        <v>97</v>
      </c>
      <c r="M97" s="91">
        <f t="shared" si="10"/>
        <v>1481624.5612999997</v>
      </c>
      <c r="N97" s="91">
        <f t="shared" si="9"/>
        <v>1185299.6490399998</v>
      </c>
      <c r="O97" s="52"/>
      <c r="P97" s="53">
        <v>113</v>
      </c>
      <c r="R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row>
    <row r="98" spans="1:45" ht="14.25" customHeight="1" x14ac:dyDescent="0.2">
      <c r="A98" s="46" t="s">
        <v>59</v>
      </c>
      <c r="B98" s="47">
        <v>2</v>
      </c>
      <c r="C98" s="47">
        <v>5</v>
      </c>
      <c r="D98" s="47" t="s">
        <v>43</v>
      </c>
      <c r="E98" s="52">
        <v>1</v>
      </c>
      <c r="F98" s="52">
        <v>3</v>
      </c>
      <c r="G98" s="52">
        <v>78.819999999999993</v>
      </c>
      <c r="H98" s="52">
        <v>11.25</v>
      </c>
      <c r="I98" s="49">
        <v>6.71</v>
      </c>
      <c r="J98" s="47">
        <v>1</v>
      </c>
      <c r="K98" s="50">
        <f t="shared" si="11"/>
        <v>1492343.1715399998</v>
      </c>
      <c r="L98" s="52" t="s">
        <v>97</v>
      </c>
      <c r="M98" s="91">
        <f t="shared" si="10"/>
        <v>1492343.1715399998</v>
      </c>
      <c r="N98" s="91">
        <f t="shared" si="9"/>
        <v>1193874.5372319999</v>
      </c>
      <c r="O98" s="52"/>
      <c r="P98" s="53">
        <v>138</v>
      </c>
      <c r="R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row>
    <row r="99" spans="1:45" ht="14.25" customHeight="1" x14ac:dyDescent="0.2">
      <c r="A99" s="46" t="s">
        <v>59</v>
      </c>
      <c r="B99" s="47">
        <v>2</v>
      </c>
      <c r="C99" s="47">
        <v>6</v>
      </c>
      <c r="D99" s="47" t="s">
        <v>45</v>
      </c>
      <c r="E99" s="52">
        <v>1</v>
      </c>
      <c r="F99" s="52">
        <v>4</v>
      </c>
      <c r="G99" s="52">
        <v>100.17</v>
      </c>
      <c r="H99" s="52">
        <v>13.2</v>
      </c>
      <c r="I99" s="49">
        <v>7.47</v>
      </c>
      <c r="J99" s="47">
        <v>1</v>
      </c>
      <c r="K99" s="50">
        <f t="shared" si="11"/>
        <v>1874348.2566799996</v>
      </c>
      <c r="L99" s="52" t="s">
        <v>97</v>
      </c>
      <c r="M99" s="91">
        <f t="shared" si="10"/>
        <v>1874348.2566799996</v>
      </c>
      <c r="N99" s="91">
        <f t="shared" si="9"/>
        <v>1574348.2566799996</v>
      </c>
      <c r="O99" s="52"/>
      <c r="P99" s="53">
        <v>122</v>
      </c>
      <c r="R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row>
    <row r="100" spans="1:45" ht="14.25" customHeight="1" x14ac:dyDescent="0.2">
      <c r="A100" s="46" t="s">
        <v>59</v>
      </c>
      <c r="B100" s="47">
        <v>2</v>
      </c>
      <c r="C100" s="47">
        <v>7</v>
      </c>
      <c r="D100" s="47" t="s">
        <v>47</v>
      </c>
      <c r="E100" s="52">
        <v>1</v>
      </c>
      <c r="F100" s="52">
        <v>4</v>
      </c>
      <c r="G100" s="52">
        <v>99.33</v>
      </c>
      <c r="H100" s="52">
        <v>14.23</v>
      </c>
      <c r="I100" s="63">
        <v>7.07</v>
      </c>
      <c r="J100" s="47">
        <v>1</v>
      </c>
      <c r="K100" s="50">
        <f t="shared" si="11"/>
        <v>1862478.7700199999</v>
      </c>
      <c r="L100" s="52" t="s">
        <v>97</v>
      </c>
      <c r="M100" s="91">
        <f t="shared" si="10"/>
        <v>1862478.7700199999</v>
      </c>
      <c r="N100" s="91">
        <f t="shared" si="9"/>
        <v>1562478.7700199999</v>
      </c>
      <c r="O100" s="52"/>
      <c r="P100" s="53">
        <v>135</v>
      </c>
      <c r="R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row>
    <row r="101" spans="1:45" ht="14.25" customHeight="1" x14ac:dyDescent="0.2">
      <c r="A101" s="46" t="s">
        <v>59</v>
      </c>
      <c r="B101" s="47">
        <v>2</v>
      </c>
      <c r="C101" s="47">
        <v>8</v>
      </c>
      <c r="D101" s="47" t="s">
        <v>40</v>
      </c>
      <c r="E101" s="52">
        <v>2</v>
      </c>
      <c r="F101" s="47">
        <v>4</v>
      </c>
      <c r="G101" s="47">
        <v>100.65</v>
      </c>
      <c r="H101" s="47">
        <v>10.01</v>
      </c>
      <c r="I101" s="49">
        <v>8.6999999999999993</v>
      </c>
      <c r="J101" s="47">
        <v>1</v>
      </c>
      <c r="K101" s="50">
        <f t="shared" si="11"/>
        <v>1874605.91558</v>
      </c>
      <c r="L101" s="52" t="s">
        <v>97</v>
      </c>
      <c r="M101" s="91">
        <f t="shared" si="10"/>
        <v>1874605.91558</v>
      </c>
      <c r="N101" s="91">
        <f t="shared" si="9"/>
        <v>1574605.91558</v>
      </c>
      <c r="O101" s="52"/>
      <c r="P101" s="53">
        <v>126</v>
      </c>
      <c r="R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row>
    <row r="102" spans="1:45" ht="14.25" customHeight="1" x14ac:dyDescent="0.2">
      <c r="A102" s="46" t="s">
        <v>59</v>
      </c>
      <c r="B102" s="47">
        <v>2</v>
      </c>
      <c r="C102" s="47">
        <v>9</v>
      </c>
      <c r="D102" s="47" t="s">
        <v>41</v>
      </c>
      <c r="E102" s="52">
        <v>2</v>
      </c>
      <c r="F102" s="52">
        <v>3</v>
      </c>
      <c r="G102" s="52">
        <v>78.819999999999993</v>
      </c>
      <c r="H102" s="52">
        <v>11.25</v>
      </c>
      <c r="I102" s="49">
        <v>4.8499999999999996</v>
      </c>
      <c r="J102" s="47">
        <v>1</v>
      </c>
      <c r="K102" s="50">
        <f t="shared" si="11"/>
        <v>1479563.2900999996</v>
      </c>
      <c r="L102" s="52" t="s">
        <v>97</v>
      </c>
      <c r="M102" s="91">
        <f t="shared" si="10"/>
        <v>1479563.2900999996</v>
      </c>
      <c r="N102" s="91">
        <f t="shared" si="9"/>
        <v>1183650.6320799997</v>
      </c>
      <c r="O102" s="52"/>
      <c r="P102" s="53">
        <v>140</v>
      </c>
      <c r="R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row>
    <row r="103" spans="1:45" ht="14.25" customHeight="1" x14ac:dyDescent="0.2">
      <c r="A103" s="46" t="s">
        <v>59</v>
      </c>
      <c r="B103" s="47">
        <v>2</v>
      </c>
      <c r="C103" s="47">
        <v>10</v>
      </c>
      <c r="D103" s="47" t="s">
        <v>43</v>
      </c>
      <c r="E103" s="52">
        <v>2</v>
      </c>
      <c r="F103" s="52">
        <v>3</v>
      </c>
      <c r="G103" s="52">
        <v>78.819999999999993</v>
      </c>
      <c r="H103" s="52">
        <v>11.25</v>
      </c>
      <c r="I103" s="63">
        <v>4.6399999999999997</v>
      </c>
      <c r="J103" s="47">
        <v>1</v>
      </c>
      <c r="K103" s="50">
        <f t="shared" si="11"/>
        <v>1478120.4002599996</v>
      </c>
      <c r="L103" s="52" t="s">
        <v>97</v>
      </c>
      <c r="M103" s="91">
        <f t="shared" si="10"/>
        <v>1478120.4002599996</v>
      </c>
      <c r="N103" s="91">
        <f t="shared" si="9"/>
        <v>1182496.3202079996</v>
      </c>
      <c r="O103" s="52"/>
      <c r="P103" s="53">
        <v>121</v>
      </c>
      <c r="R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row>
    <row r="104" spans="1:45" ht="14.25" customHeight="1" x14ac:dyDescent="0.2">
      <c r="A104" s="46" t="s">
        <v>59</v>
      </c>
      <c r="B104" s="47">
        <v>2</v>
      </c>
      <c r="C104" s="47">
        <v>11</v>
      </c>
      <c r="D104" s="47" t="s">
        <v>45</v>
      </c>
      <c r="E104" s="52">
        <v>2</v>
      </c>
      <c r="F104" s="52">
        <v>4</v>
      </c>
      <c r="G104" s="52">
        <v>100.17</v>
      </c>
      <c r="H104" s="52">
        <v>13.2</v>
      </c>
      <c r="I104" s="49">
        <v>10.130000000000001</v>
      </c>
      <c r="J104" s="47">
        <v>1</v>
      </c>
      <c r="K104" s="50">
        <f t="shared" si="11"/>
        <v>1892624.8613199999</v>
      </c>
      <c r="L104" s="52" t="s">
        <v>97</v>
      </c>
      <c r="M104" s="91">
        <f t="shared" si="10"/>
        <v>1892624.8613199999</v>
      </c>
      <c r="N104" s="91">
        <f t="shared" si="9"/>
        <v>1592624.8613199999</v>
      </c>
      <c r="O104" s="52"/>
      <c r="P104" s="53">
        <v>141</v>
      </c>
      <c r="R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row>
    <row r="105" spans="1:45" ht="14.25" customHeight="1" x14ac:dyDescent="0.2">
      <c r="A105" s="46" t="s">
        <v>59</v>
      </c>
      <c r="B105" s="47">
        <v>2</v>
      </c>
      <c r="C105" s="47">
        <v>12</v>
      </c>
      <c r="D105" s="47" t="s">
        <v>47</v>
      </c>
      <c r="E105" s="52">
        <v>2</v>
      </c>
      <c r="F105" s="52">
        <v>4</v>
      </c>
      <c r="G105" s="52">
        <v>99.33</v>
      </c>
      <c r="H105" s="52">
        <v>14.23</v>
      </c>
      <c r="I105" s="49">
        <v>7.43</v>
      </c>
      <c r="J105" s="47">
        <v>1</v>
      </c>
      <c r="K105" s="50">
        <f t="shared" si="11"/>
        <v>1864952.2954599997</v>
      </c>
      <c r="L105" s="52" t="s">
        <v>97</v>
      </c>
      <c r="M105" s="91">
        <f t="shared" si="10"/>
        <v>1864952.2954599997</v>
      </c>
      <c r="N105" s="91">
        <f t="shared" si="9"/>
        <v>1564952.2954599997</v>
      </c>
      <c r="O105" s="52"/>
      <c r="P105" s="53">
        <v>128</v>
      </c>
      <c r="R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row>
    <row r="106" spans="1:45" ht="14.25" customHeight="1" x14ac:dyDescent="0.2">
      <c r="A106" s="46" t="s">
        <v>59</v>
      </c>
      <c r="B106" s="47">
        <v>2</v>
      </c>
      <c r="C106" s="47">
        <v>13</v>
      </c>
      <c r="D106" s="47" t="s">
        <v>40</v>
      </c>
      <c r="E106" s="52">
        <v>3</v>
      </c>
      <c r="F106" s="47">
        <v>4</v>
      </c>
      <c r="G106" s="47">
        <v>100.65</v>
      </c>
      <c r="H106" s="47">
        <v>10.01</v>
      </c>
      <c r="I106" s="63">
        <v>5.34</v>
      </c>
      <c r="J106" s="47">
        <v>1</v>
      </c>
      <c r="K106" s="50">
        <f t="shared" si="11"/>
        <v>1851519.6781399997</v>
      </c>
      <c r="L106" s="52" t="s">
        <v>97</v>
      </c>
      <c r="M106" s="91">
        <f t="shared" si="10"/>
        <v>1851519.6781399997</v>
      </c>
      <c r="N106" s="91">
        <f t="shared" si="9"/>
        <v>1551519.6781399997</v>
      </c>
      <c r="O106" s="52"/>
      <c r="P106" s="53">
        <v>15</v>
      </c>
      <c r="R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row>
    <row r="107" spans="1:45" ht="14.25" customHeight="1" x14ac:dyDescent="0.2">
      <c r="A107" s="46" t="s">
        <v>59</v>
      </c>
      <c r="B107" s="47">
        <v>2</v>
      </c>
      <c r="C107" s="47">
        <v>14</v>
      </c>
      <c r="D107" s="47" t="s">
        <v>41</v>
      </c>
      <c r="E107" s="52">
        <v>3</v>
      </c>
      <c r="F107" s="52">
        <v>3</v>
      </c>
      <c r="G107" s="52">
        <v>78.819999999999993</v>
      </c>
      <c r="H107" s="52">
        <v>11.25</v>
      </c>
      <c r="I107" s="49">
        <v>5.58</v>
      </c>
      <c r="J107" s="47">
        <v>1</v>
      </c>
      <c r="K107" s="50">
        <f t="shared" si="11"/>
        <v>1484579.0500199997</v>
      </c>
      <c r="L107" s="52" t="s">
        <v>97</v>
      </c>
      <c r="M107" s="91">
        <f t="shared" si="10"/>
        <v>1484579.0500199997</v>
      </c>
      <c r="N107" s="91">
        <f t="shared" si="9"/>
        <v>1187663.2400159999</v>
      </c>
      <c r="O107" s="52"/>
      <c r="P107" s="53">
        <v>142</v>
      </c>
      <c r="R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row>
    <row r="108" spans="1:45" ht="14.25" customHeight="1" x14ac:dyDescent="0.2">
      <c r="A108" s="46" t="s">
        <v>59</v>
      </c>
      <c r="B108" s="47">
        <v>2</v>
      </c>
      <c r="C108" s="47">
        <v>15</v>
      </c>
      <c r="D108" s="47" t="s">
        <v>43</v>
      </c>
      <c r="E108" s="52">
        <v>3</v>
      </c>
      <c r="F108" s="52">
        <v>3</v>
      </c>
      <c r="G108" s="52">
        <v>78.819999999999993</v>
      </c>
      <c r="H108" s="52">
        <v>11.25</v>
      </c>
      <c r="I108" s="49">
        <v>5.48</v>
      </c>
      <c r="J108" s="47">
        <v>1</v>
      </c>
      <c r="K108" s="50">
        <f t="shared" si="11"/>
        <v>1483891.9596199999</v>
      </c>
      <c r="L108" s="52" t="s">
        <v>97</v>
      </c>
      <c r="M108" s="91">
        <f t="shared" si="10"/>
        <v>1483891.9596199999</v>
      </c>
      <c r="N108" s="91">
        <f t="shared" si="9"/>
        <v>1187113.567696</v>
      </c>
      <c r="O108" s="52"/>
      <c r="P108" s="53">
        <v>132</v>
      </c>
      <c r="R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row>
    <row r="109" spans="1:45" ht="14.25" customHeight="1" x14ac:dyDescent="0.2">
      <c r="A109" s="46" t="s">
        <v>59</v>
      </c>
      <c r="B109" s="47">
        <v>2</v>
      </c>
      <c r="C109" s="47">
        <v>16</v>
      </c>
      <c r="D109" s="47" t="s">
        <v>45</v>
      </c>
      <c r="E109" s="52">
        <v>3</v>
      </c>
      <c r="F109" s="52">
        <v>4</v>
      </c>
      <c r="G109" s="52">
        <v>100.17</v>
      </c>
      <c r="H109" s="52">
        <v>13.2</v>
      </c>
      <c r="I109" s="63">
        <v>6.44</v>
      </c>
      <c r="J109" s="47">
        <v>1</v>
      </c>
      <c r="K109" s="50">
        <f t="shared" si="11"/>
        <v>1867271.2255599997</v>
      </c>
      <c r="L109" s="52" t="s">
        <v>97</v>
      </c>
      <c r="M109" s="91">
        <f t="shared" si="10"/>
        <v>1867271.2255599997</v>
      </c>
      <c r="N109" s="91">
        <f t="shared" si="9"/>
        <v>1567271.2255599997</v>
      </c>
      <c r="O109" s="52"/>
      <c r="P109" s="53">
        <v>34</v>
      </c>
      <c r="R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row>
    <row r="110" spans="1:45" ht="14.25" customHeight="1" x14ac:dyDescent="0.2">
      <c r="A110" s="46" t="s">
        <v>59</v>
      </c>
      <c r="B110" s="47">
        <v>2</v>
      </c>
      <c r="C110" s="47">
        <v>17</v>
      </c>
      <c r="D110" s="47" t="s">
        <v>47</v>
      </c>
      <c r="E110" s="52">
        <v>3</v>
      </c>
      <c r="F110" s="52">
        <v>4</v>
      </c>
      <c r="G110" s="52">
        <v>99.33</v>
      </c>
      <c r="H110" s="52">
        <v>14.23</v>
      </c>
      <c r="I110" s="49">
        <v>8.98</v>
      </c>
      <c r="J110" s="47">
        <v>1</v>
      </c>
      <c r="K110" s="50">
        <f t="shared" si="11"/>
        <v>1875602.1966599999</v>
      </c>
      <c r="L110" s="52" t="s">
        <v>97</v>
      </c>
      <c r="M110" s="91">
        <f t="shared" si="10"/>
        <v>1875602.1966599999</v>
      </c>
      <c r="N110" s="91">
        <f t="shared" si="9"/>
        <v>1575602.1966599999</v>
      </c>
      <c r="O110" s="52"/>
      <c r="P110" s="53">
        <v>139</v>
      </c>
      <c r="R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row>
    <row r="111" spans="1:45" ht="14.25" customHeight="1" x14ac:dyDescent="0.2">
      <c r="A111" s="46" t="s">
        <v>59</v>
      </c>
      <c r="B111" s="47">
        <v>2</v>
      </c>
      <c r="C111" s="47">
        <v>18</v>
      </c>
      <c r="D111" s="47" t="s">
        <v>40</v>
      </c>
      <c r="E111" s="52">
        <v>4</v>
      </c>
      <c r="F111" s="47">
        <v>4</v>
      </c>
      <c r="G111" s="47">
        <v>100.65</v>
      </c>
      <c r="H111" s="47">
        <v>10.01</v>
      </c>
      <c r="I111" s="49">
        <v>6.55</v>
      </c>
      <c r="J111" s="47">
        <v>1</v>
      </c>
      <c r="K111" s="50">
        <f t="shared" si="11"/>
        <v>1859833.4719799999</v>
      </c>
      <c r="L111" s="52" t="s">
        <v>97</v>
      </c>
      <c r="M111" s="91">
        <f t="shared" si="10"/>
        <v>1859833.4719799999</v>
      </c>
      <c r="N111" s="91">
        <f t="shared" si="9"/>
        <v>1559833.4719799999</v>
      </c>
      <c r="O111" s="52"/>
      <c r="P111" s="53">
        <v>37</v>
      </c>
      <c r="R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row>
    <row r="112" spans="1:45" ht="14.25" customHeight="1" x14ac:dyDescent="0.2">
      <c r="A112" s="46" t="s">
        <v>59</v>
      </c>
      <c r="B112" s="47">
        <v>2</v>
      </c>
      <c r="C112" s="47">
        <v>19</v>
      </c>
      <c r="D112" s="47" t="s">
        <v>41</v>
      </c>
      <c r="E112" s="52">
        <v>4</v>
      </c>
      <c r="F112" s="52">
        <v>3</v>
      </c>
      <c r="G112" s="52">
        <v>78.819999999999993</v>
      </c>
      <c r="H112" s="52">
        <v>11.25</v>
      </c>
      <c r="I112" s="63">
        <v>6.02</v>
      </c>
      <c r="J112" s="47">
        <v>1</v>
      </c>
      <c r="K112" s="50">
        <f t="shared" si="11"/>
        <v>1487602.2477799999</v>
      </c>
      <c r="L112" s="52" t="s">
        <v>97</v>
      </c>
      <c r="M112" s="91">
        <f t="shared" si="10"/>
        <v>1487602.2477799999</v>
      </c>
      <c r="N112" s="91">
        <f t="shared" si="9"/>
        <v>1190081.7982239998</v>
      </c>
      <c r="O112" s="52"/>
      <c r="P112" s="53">
        <v>136</v>
      </c>
      <c r="R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row>
    <row r="113" spans="1:45" ht="14.25" customHeight="1" x14ac:dyDescent="0.2">
      <c r="A113" s="46" t="s">
        <v>59</v>
      </c>
      <c r="B113" s="47">
        <v>2</v>
      </c>
      <c r="C113" s="47">
        <v>20</v>
      </c>
      <c r="D113" s="47" t="s">
        <v>43</v>
      </c>
      <c r="E113" s="52">
        <v>4</v>
      </c>
      <c r="F113" s="52">
        <v>3</v>
      </c>
      <c r="G113" s="52">
        <v>78.819999999999993</v>
      </c>
      <c r="H113" s="52">
        <v>11.25</v>
      </c>
      <c r="I113" s="49">
        <v>5.92</v>
      </c>
      <c r="J113" s="47">
        <v>1</v>
      </c>
      <c r="K113" s="50">
        <f t="shared" si="11"/>
        <v>1486915.1573799998</v>
      </c>
      <c r="L113" s="52" t="s">
        <v>97</v>
      </c>
      <c r="M113" s="91">
        <f t="shared" si="10"/>
        <v>1486915.1573799998</v>
      </c>
      <c r="N113" s="91">
        <f t="shared" si="9"/>
        <v>1189532.1259039999</v>
      </c>
      <c r="O113" s="52"/>
      <c r="P113" s="53">
        <v>134</v>
      </c>
      <c r="R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row>
    <row r="114" spans="1:45" ht="14.25" customHeight="1" x14ac:dyDescent="0.2">
      <c r="A114" s="46" t="s">
        <v>59</v>
      </c>
      <c r="B114" s="47">
        <v>2</v>
      </c>
      <c r="C114" s="47">
        <v>21</v>
      </c>
      <c r="D114" s="47" t="s">
        <v>45</v>
      </c>
      <c r="E114" s="52">
        <v>4</v>
      </c>
      <c r="F114" s="52">
        <v>4</v>
      </c>
      <c r="G114" s="52">
        <v>100.17</v>
      </c>
      <c r="H114" s="52">
        <v>13.2</v>
      </c>
      <c r="I114" s="49">
        <v>6.63</v>
      </c>
      <c r="J114" s="47">
        <v>1</v>
      </c>
      <c r="K114" s="50">
        <f t="shared" si="11"/>
        <v>1868576.6973199998</v>
      </c>
      <c r="L114" s="52" t="s">
        <v>97</v>
      </c>
      <c r="M114" s="91">
        <f t="shared" si="10"/>
        <v>1868576.6973199998</v>
      </c>
      <c r="N114" s="91">
        <f t="shared" si="9"/>
        <v>1568576.6973199998</v>
      </c>
      <c r="O114" s="52"/>
      <c r="P114" s="53">
        <v>16</v>
      </c>
      <c r="R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row>
    <row r="115" spans="1:45" ht="14.25" customHeight="1" x14ac:dyDescent="0.2">
      <c r="A115" s="46" t="s">
        <v>59</v>
      </c>
      <c r="B115" s="47">
        <v>2</v>
      </c>
      <c r="C115" s="47">
        <v>22</v>
      </c>
      <c r="D115" s="47" t="s">
        <v>47</v>
      </c>
      <c r="E115" s="52">
        <v>4</v>
      </c>
      <c r="F115" s="52">
        <v>4</v>
      </c>
      <c r="G115" s="52">
        <v>99.33</v>
      </c>
      <c r="H115" s="52">
        <v>14.23</v>
      </c>
      <c r="I115" s="49">
        <v>5.85</v>
      </c>
      <c r="J115" s="47">
        <v>1</v>
      </c>
      <c r="K115" s="50">
        <f t="shared" si="11"/>
        <v>1854096.2671399999</v>
      </c>
      <c r="L115" s="52" t="s">
        <v>97</v>
      </c>
      <c r="M115" s="91">
        <f t="shared" si="10"/>
        <v>1854096.2671399999</v>
      </c>
      <c r="N115" s="91">
        <f t="shared" si="9"/>
        <v>1554096.2671399999</v>
      </c>
      <c r="O115" s="52"/>
      <c r="P115" s="53">
        <v>38</v>
      </c>
      <c r="R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row>
    <row r="116" spans="1:45" ht="14.25" customHeight="1" x14ac:dyDescent="0.2">
      <c r="A116" s="46" t="s">
        <v>59</v>
      </c>
      <c r="B116" s="47">
        <v>2</v>
      </c>
      <c r="C116" s="47">
        <v>23</v>
      </c>
      <c r="D116" s="47" t="s">
        <v>40</v>
      </c>
      <c r="E116" s="52">
        <v>5</v>
      </c>
      <c r="F116" s="47">
        <v>4</v>
      </c>
      <c r="G116" s="47">
        <v>100.65</v>
      </c>
      <c r="H116" s="47">
        <v>10.01</v>
      </c>
      <c r="I116" s="63">
        <v>6.67</v>
      </c>
      <c r="J116" s="47">
        <v>1</v>
      </c>
      <c r="K116" s="50">
        <f t="shared" si="11"/>
        <v>1860657.98046</v>
      </c>
      <c r="L116" s="52" t="s">
        <v>97</v>
      </c>
      <c r="M116" s="91">
        <f t="shared" si="10"/>
        <v>1860657.98046</v>
      </c>
      <c r="N116" s="91">
        <f t="shared" si="9"/>
        <v>1560657.98046</v>
      </c>
      <c r="O116" s="52"/>
      <c r="P116" s="53">
        <v>21</v>
      </c>
      <c r="R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row>
    <row r="117" spans="1:45" ht="14.25" customHeight="1" x14ac:dyDescent="0.2">
      <c r="A117" s="46" t="s">
        <v>59</v>
      </c>
      <c r="B117" s="47">
        <v>2</v>
      </c>
      <c r="C117" s="47">
        <v>24</v>
      </c>
      <c r="D117" s="47" t="s">
        <v>41</v>
      </c>
      <c r="E117" s="52">
        <v>5</v>
      </c>
      <c r="F117" s="52">
        <v>3</v>
      </c>
      <c r="G117" s="52">
        <v>78.819999999999993</v>
      </c>
      <c r="H117" s="52">
        <v>11.25</v>
      </c>
      <c r="I117" s="49">
        <v>6.46</v>
      </c>
      <c r="J117" s="47">
        <v>1</v>
      </c>
      <c r="K117" s="50">
        <f t="shared" si="11"/>
        <v>1490625.4455399998</v>
      </c>
      <c r="L117" s="52" t="s">
        <v>97</v>
      </c>
      <c r="M117" s="91">
        <f t="shared" si="10"/>
        <v>1490625.4455399998</v>
      </c>
      <c r="N117" s="91">
        <f t="shared" si="9"/>
        <v>1192500.3564319997</v>
      </c>
      <c r="O117" s="52"/>
      <c r="P117" s="53">
        <v>137</v>
      </c>
      <c r="R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row>
    <row r="118" spans="1:45" ht="14.25" customHeight="1" x14ac:dyDescent="0.2">
      <c r="A118" s="46" t="s">
        <v>59</v>
      </c>
      <c r="B118" s="47">
        <v>2</v>
      </c>
      <c r="C118" s="47">
        <v>25</v>
      </c>
      <c r="D118" s="47" t="s">
        <v>43</v>
      </c>
      <c r="E118" s="52">
        <v>5</v>
      </c>
      <c r="F118" s="52">
        <v>3</v>
      </c>
      <c r="G118" s="52">
        <v>78.819999999999993</v>
      </c>
      <c r="H118" s="52">
        <v>11.25</v>
      </c>
      <c r="I118" s="49">
        <v>6.07</v>
      </c>
      <c r="J118" s="47">
        <v>1</v>
      </c>
      <c r="K118" s="50">
        <f t="shared" si="11"/>
        <v>1487945.7929799997</v>
      </c>
      <c r="L118" s="52" t="s">
        <v>97</v>
      </c>
      <c r="M118" s="91">
        <f t="shared" si="10"/>
        <v>1487945.7929799997</v>
      </c>
      <c r="N118" s="91">
        <f t="shared" si="9"/>
        <v>1190356.6343839997</v>
      </c>
      <c r="O118" s="52"/>
      <c r="P118" s="53">
        <v>133</v>
      </c>
      <c r="R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row>
    <row r="119" spans="1:45" ht="14.25" customHeight="1" x14ac:dyDescent="0.2">
      <c r="A119" s="46" t="s">
        <v>59</v>
      </c>
      <c r="B119" s="47">
        <v>2</v>
      </c>
      <c r="C119" s="47">
        <v>26</v>
      </c>
      <c r="D119" s="47" t="s">
        <v>45</v>
      </c>
      <c r="E119" s="52">
        <v>5</v>
      </c>
      <c r="F119" s="52">
        <v>4</v>
      </c>
      <c r="G119" s="52">
        <v>100.17</v>
      </c>
      <c r="H119" s="52">
        <v>13.2</v>
      </c>
      <c r="I119" s="63">
        <v>6.9</v>
      </c>
      <c r="J119" s="47">
        <v>1</v>
      </c>
      <c r="K119" s="50">
        <f t="shared" si="11"/>
        <v>1870431.8413999998</v>
      </c>
      <c r="L119" s="52" t="s">
        <v>97</v>
      </c>
      <c r="M119" s="91">
        <f t="shared" si="10"/>
        <v>1870431.8413999998</v>
      </c>
      <c r="N119" s="91">
        <f t="shared" si="9"/>
        <v>1570431.8413999998</v>
      </c>
      <c r="O119" s="52"/>
      <c r="P119" s="53">
        <v>18</v>
      </c>
      <c r="R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row>
    <row r="120" spans="1:45" ht="14.25" customHeight="1" x14ac:dyDescent="0.2">
      <c r="A120" s="46" t="s">
        <v>59</v>
      </c>
      <c r="B120" s="47">
        <v>2</v>
      </c>
      <c r="C120" s="47">
        <v>27</v>
      </c>
      <c r="D120" s="47" t="s">
        <v>47</v>
      </c>
      <c r="E120" s="52">
        <v>5</v>
      </c>
      <c r="F120" s="52">
        <v>4</v>
      </c>
      <c r="G120" s="52">
        <v>99.33</v>
      </c>
      <c r="H120" s="52">
        <v>14.23</v>
      </c>
      <c r="I120" s="49">
        <v>6.6</v>
      </c>
      <c r="J120" s="47">
        <v>1</v>
      </c>
      <c r="K120" s="50">
        <f t="shared" si="11"/>
        <v>1859249.44514</v>
      </c>
      <c r="L120" s="52" t="s">
        <v>97</v>
      </c>
      <c r="M120" s="91">
        <f t="shared" si="10"/>
        <v>1859249.44514</v>
      </c>
      <c r="N120" s="91">
        <f t="shared" si="9"/>
        <v>1559249.44514</v>
      </c>
      <c r="O120" s="52"/>
      <c r="P120" s="53">
        <v>20</v>
      </c>
      <c r="R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row>
    <row r="121" spans="1:45" ht="14.25" customHeight="1" x14ac:dyDescent="0.2">
      <c r="A121" s="46" t="s">
        <v>59</v>
      </c>
      <c r="B121" s="47">
        <v>2</v>
      </c>
      <c r="C121" s="47">
        <v>28</v>
      </c>
      <c r="D121" s="47" t="s">
        <v>40</v>
      </c>
      <c r="E121" s="52">
        <v>6</v>
      </c>
      <c r="F121" s="47">
        <v>4</v>
      </c>
      <c r="G121" s="47">
        <v>100.65</v>
      </c>
      <c r="H121" s="47">
        <v>10.01</v>
      </c>
      <c r="I121" s="49">
        <v>7.07</v>
      </c>
      <c r="J121" s="47">
        <v>1</v>
      </c>
      <c r="K121" s="50">
        <f t="shared" si="11"/>
        <v>1863406.3420599999</v>
      </c>
      <c r="L121" s="52" t="s">
        <v>97</v>
      </c>
      <c r="M121" s="91">
        <f t="shared" si="10"/>
        <v>1863406.3420599999</v>
      </c>
      <c r="N121" s="91">
        <f t="shared" si="9"/>
        <v>1563406.3420599999</v>
      </c>
      <c r="O121" s="52"/>
      <c r="P121" s="53">
        <v>36</v>
      </c>
      <c r="R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row>
    <row r="122" spans="1:45" ht="14.25" customHeight="1" x14ac:dyDescent="0.2">
      <c r="A122" s="46" t="s">
        <v>59</v>
      </c>
      <c r="B122" s="47">
        <v>2</v>
      </c>
      <c r="C122" s="47">
        <v>29</v>
      </c>
      <c r="D122" s="47" t="s">
        <v>41</v>
      </c>
      <c r="E122" s="52">
        <v>6</v>
      </c>
      <c r="F122" s="52">
        <v>3</v>
      </c>
      <c r="G122" s="52">
        <v>78.819999999999993</v>
      </c>
      <c r="H122" s="52">
        <v>11.25</v>
      </c>
      <c r="I122" s="63">
        <v>6.9</v>
      </c>
      <c r="J122" s="47">
        <v>1</v>
      </c>
      <c r="K122" s="50">
        <f t="shared" si="11"/>
        <v>1493648.6432999999</v>
      </c>
      <c r="L122" s="52" t="s">
        <v>97</v>
      </c>
      <c r="M122" s="91">
        <f t="shared" si="10"/>
        <v>1493648.6432999999</v>
      </c>
      <c r="N122" s="91">
        <f t="shared" si="9"/>
        <v>1194918.9146399999</v>
      </c>
      <c r="O122" s="52"/>
      <c r="P122" s="53">
        <v>120</v>
      </c>
      <c r="R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row>
    <row r="123" spans="1:45" ht="14.25" customHeight="1" x14ac:dyDescent="0.2">
      <c r="A123" s="46" t="s">
        <v>59</v>
      </c>
      <c r="B123" s="47">
        <v>2</v>
      </c>
      <c r="C123" s="47">
        <v>30</v>
      </c>
      <c r="D123" s="47" t="s">
        <v>43</v>
      </c>
      <c r="E123" s="52">
        <v>6</v>
      </c>
      <c r="F123" s="52">
        <v>3</v>
      </c>
      <c r="G123" s="52">
        <v>78.819999999999993</v>
      </c>
      <c r="H123" s="52">
        <v>11.25</v>
      </c>
      <c r="I123" s="49">
        <v>7.01</v>
      </c>
      <c r="J123" s="47">
        <v>1</v>
      </c>
      <c r="K123" s="50"/>
      <c r="L123" s="52" t="s">
        <v>98</v>
      </c>
      <c r="M123" s="91">
        <f t="shared" si="10"/>
        <v>0</v>
      </c>
      <c r="N123" s="91">
        <f t="shared" si="9"/>
        <v>0</v>
      </c>
      <c r="O123" s="52"/>
      <c r="P123" s="53">
        <v>131</v>
      </c>
      <c r="R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row>
    <row r="124" spans="1:45" ht="14.25" customHeight="1" x14ac:dyDescent="0.2">
      <c r="A124" s="46" t="s">
        <v>59</v>
      </c>
      <c r="B124" s="47">
        <v>2</v>
      </c>
      <c r="C124" s="47">
        <v>31</v>
      </c>
      <c r="D124" s="47" t="s">
        <v>45</v>
      </c>
      <c r="E124" s="52">
        <v>6</v>
      </c>
      <c r="F124" s="52">
        <v>4</v>
      </c>
      <c r="G124" s="52">
        <v>100.17</v>
      </c>
      <c r="H124" s="52">
        <v>13.2</v>
      </c>
      <c r="I124" s="49">
        <v>9.35</v>
      </c>
      <c r="J124" s="47">
        <v>1</v>
      </c>
      <c r="K124" s="50">
        <f t="shared" si="11"/>
        <v>1887265.5561999998</v>
      </c>
      <c r="L124" s="52" t="s">
        <v>97</v>
      </c>
      <c r="M124" s="91">
        <f t="shared" si="10"/>
        <v>1887265.5561999998</v>
      </c>
      <c r="N124" s="91">
        <f t="shared" si="9"/>
        <v>1587265.5561999998</v>
      </c>
      <c r="O124" s="52"/>
      <c r="P124" s="53">
        <v>35</v>
      </c>
      <c r="R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row>
    <row r="125" spans="1:45" ht="14.25" customHeight="1" x14ac:dyDescent="0.2">
      <c r="A125" s="46" t="s">
        <v>59</v>
      </c>
      <c r="B125" s="47">
        <v>2</v>
      </c>
      <c r="C125" s="47">
        <v>32</v>
      </c>
      <c r="D125" s="47" t="s">
        <v>47</v>
      </c>
      <c r="E125" s="52">
        <v>6</v>
      </c>
      <c r="F125" s="52">
        <v>4</v>
      </c>
      <c r="G125" s="52">
        <v>99.33</v>
      </c>
      <c r="H125" s="52">
        <v>14.23</v>
      </c>
      <c r="I125" s="63">
        <v>9.1999999999999993</v>
      </c>
      <c r="J125" s="47">
        <v>1</v>
      </c>
      <c r="K125" s="50"/>
      <c r="L125" s="52" t="s">
        <v>98</v>
      </c>
      <c r="M125" s="91">
        <f t="shared" si="10"/>
        <v>0</v>
      </c>
      <c r="N125" s="91">
        <f t="shared" si="9"/>
        <v>0</v>
      </c>
      <c r="O125" s="52"/>
      <c r="P125" s="53">
        <v>127</v>
      </c>
      <c r="R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row>
    <row r="126" spans="1:45" ht="14.25" customHeight="1" x14ac:dyDescent="0.2">
      <c r="A126" s="46" t="s">
        <v>59</v>
      </c>
      <c r="B126" s="47">
        <v>2</v>
      </c>
      <c r="C126" s="47">
        <v>33</v>
      </c>
      <c r="D126" s="47" t="s">
        <v>40</v>
      </c>
      <c r="E126" s="52">
        <v>7</v>
      </c>
      <c r="F126" s="47">
        <v>4</v>
      </c>
      <c r="G126" s="47">
        <v>100.65</v>
      </c>
      <c r="H126" s="47">
        <v>10.01</v>
      </c>
      <c r="I126" s="49">
        <v>6.87</v>
      </c>
      <c r="J126" s="47">
        <v>1</v>
      </c>
      <c r="K126" s="50">
        <f t="shared" si="11"/>
        <v>1862032.16126</v>
      </c>
      <c r="L126" s="52" t="s">
        <v>97</v>
      </c>
      <c r="M126" s="91">
        <f t="shared" si="10"/>
        <v>1862032.16126</v>
      </c>
      <c r="N126" s="91">
        <f t="shared" si="9"/>
        <v>1562032.16126</v>
      </c>
      <c r="O126" s="52"/>
      <c r="P126" s="53">
        <v>17</v>
      </c>
      <c r="R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row>
    <row r="127" spans="1:45" ht="14.25" customHeight="1" x14ac:dyDescent="0.2">
      <c r="A127" s="46" t="s">
        <v>59</v>
      </c>
      <c r="B127" s="47">
        <v>2</v>
      </c>
      <c r="C127" s="47">
        <v>34</v>
      </c>
      <c r="D127" s="47" t="s">
        <v>41</v>
      </c>
      <c r="E127" s="52">
        <v>7</v>
      </c>
      <c r="F127" s="52">
        <v>3</v>
      </c>
      <c r="G127" s="52">
        <v>78.819999999999993</v>
      </c>
      <c r="H127" s="52">
        <v>11.25</v>
      </c>
      <c r="I127" s="49">
        <v>4.4800000000000004</v>
      </c>
      <c r="J127" s="47">
        <v>1</v>
      </c>
      <c r="K127" s="50">
        <f t="shared" si="11"/>
        <v>1477021.0556199998</v>
      </c>
      <c r="L127" s="52" t="s">
        <v>97</v>
      </c>
      <c r="M127" s="91">
        <f t="shared" si="10"/>
        <v>1477021.0556199998</v>
      </c>
      <c r="N127" s="91">
        <f t="shared" si="9"/>
        <v>1181616.8444959999</v>
      </c>
      <c r="O127" s="52"/>
      <c r="P127" s="53">
        <v>125</v>
      </c>
      <c r="R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row>
    <row r="128" spans="1:45" ht="14.25" customHeight="1" x14ac:dyDescent="0.2">
      <c r="A128" s="46" t="s">
        <v>59</v>
      </c>
      <c r="B128" s="47">
        <v>2</v>
      </c>
      <c r="C128" s="47">
        <v>35</v>
      </c>
      <c r="D128" s="47" t="s">
        <v>43</v>
      </c>
      <c r="E128" s="52">
        <v>7</v>
      </c>
      <c r="F128" s="52">
        <v>3</v>
      </c>
      <c r="G128" s="52">
        <v>78.819999999999993</v>
      </c>
      <c r="H128" s="52">
        <v>11.25</v>
      </c>
      <c r="I128" s="63">
        <v>6.97</v>
      </c>
      <c r="J128" s="47">
        <v>1</v>
      </c>
      <c r="K128" s="50"/>
      <c r="L128" s="52" t="s">
        <v>98</v>
      </c>
      <c r="M128" s="91">
        <f t="shared" si="10"/>
        <v>0</v>
      </c>
      <c r="N128" s="91">
        <f t="shared" si="9"/>
        <v>0</v>
      </c>
      <c r="O128" s="52"/>
      <c r="P128" s="53">
        <v>124</v>
      </c>
      <c r="R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row>
    <row r="129" spans="1:45" ht="14.25" customHeight="1" x14ac:dyDescent="0.2">
      <c r="A129" s="46" t="s">
        <v>59</v>
      </c>
      <c r="B129" s="47">
        <v>2</v>
      </c>
      <c r="C129" s="47">
        <v>36</v>
      </c>
      <c r="D129" s="47" t="s">
        <v>45</v>
      </c>
      <c r="E129" s="52">
        <v>7</v>
      </c>
      <c r="F129" s="52">
        <v>4</v>
      </c>
      <c r="G129" s="52">
        <v>100.17</v>
      </c>
      <c r="H129" s="52">
        <v>13.2</v>
      </c>
      <c r="I129" s="49">
        <v>7.56</v>
      </c>
      <c r="J129" s="47">
        <v>1</v>
      </c>
      <c r="K129" s="50">
        <f t="shared" si="11"/>
        <v>1874966.6380399999</v>
      </c>
      <c r="L129" s="52" t="s">
        <v>97</v>
      </c>
      <c r="M129" s="91">
        <f t="shared" si="10"/>
        <v>1874966.6380399999</v>
      </c>
      <c r="N129" s="91">
        <f t="shared" si="9"/>
        <v>1574966.6380399999</v>
      </c>
      <c r="O129" s="52"/>
      <c r="P129" s="53">
        <v>19</v>
      </c>
      <c r="R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row>
    <row r="130" spans="1:45" ht="14.25" customHeight="1" x14ac:dyDescent="0.2">
      <c r="A130" s="46" t="s">
        <v>59</v>
      </c>
      <c r="B130" s="47">
        <v>2</v>
      </c>
      <c r="C130" s="47">
        <v>37</v>
      </c>
      <c r="D130" s="47" t="s">
        <v>47</v>
      </c>
      <c r="E130" s="52">
        <v>7</v>
      </c>
      <c r="F130" s="52">
        <v>4</v>
      </c>
      <c r="G130" s="52">
        <v>99.33</v>
      </c>
      <c r="H130" s="52">
        <v>14.23</v>
      </c>
      <c r="I130" s="49">
        <v>11.13</v>
      </c>
      <c r="J130" s="47">
        <v>1</v>
      </c>
      <c r="K130" s="50"/>
      <c r="L130" s="47" t="s">
        <v>98</v>
      </c>
      <c r="M130" s="86">
        <f t="shared" si="10"/>
        <v>0</v>
      </c>
      <c r="N130" s="86">
        <f t="shared" si="9"/>
        <v>0</v>
      </c>
      <c r="O130" s="52"/>
      <c r="P130" s="53">
        <v>123</v>
      </c>
      <c r="R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row>
    <row r="131" spans="1:45" ht="14.25" customHeight="1" x14ac:dyDescent="0.2">
      <c r="A131" s="46" t="s">
        <v>59</v>
      </c>
      <c r="B131" s="47">
        <v>2</v>
      </c>
      <c r="C131" s="47">
        <v>38</v>
      </c>
      <c r="D131" s="47" t="s">
        <v>62</v>
      </c>
      <c r="E131" s="52">
        <v>8</v>
      </c>
      <c r="F131" s="52">
        <v>6</v>
      </c>
      <c r="G131" s="47">
        <v>197.52</v>
      </c>
      <c r="H131" s="47">
        <v>57.93</v>
      </c>
      <c r="I131" s="49">
        <v>8.9499999999999993</v>
      </c>
      <c r="J131" s="47">
        <v>1</v>
      </c>
      <c r="K131" s="50"/>
      <c r="L131" s="47" t="s">
        <v>98</v>
      </c>
      <c r="M131" s="86">
        <f t="shared" si="10"/>
        <v>0</v>
      </c>
      <c r="N131" s="86">
        <f t="shared" si="9"/>
        <v>0</v>
      </c>
      <c r="O131" s="52"/>
      <c r="P131" s="53">
        <v>31</v>
      </c>
      <c r="R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row>
    <row r="132" spans="1:45" ht="14.25" customHeight="1" x14ac:dyDescent="0.2">
      <c r="A132" s="46" t="s">
        <v>59</v>
      </c>
      <c r="B132" s="47">
        <v>2</v>
      </c>
      <c r="C132" s="47">
        <v>39</v>
      </c>
      <c r="D132" s="47" t="s">
        <v>63</v>
      </c>
      <c r="E132" s="52">
        <v>8</v>
      </c>
      <c r="F132" s="52">
        <v>6.5</v>
      </c>
      <c r="G132" s="47">
        <v>187.51</v>
      </c>
      <c r="H132" s="47">
        <v>70.94</v>
      </c>
      <c r="I132" s="63">
        <v>6.61</v>
      </c>
      <c r="J132" s="47">
        <v>1</v>
      </c>
      <c r="K132" s="50"/>
      <c r="L132" s="47" t="s">
        <v>98</v>
      </c>
      <c r="M132" s="86">
        <f t="shared" si="10"/>
        <v>0</v>
      </c>
      <c r="N132" s="86">
        <f t="shared" si="9"/>
        <v>0</v>
      </c>
      <c r="O132" s="52"/>
      <c r="P132" s="53">
        <v>39</v>
      </c>
      <c r="R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row>
    <row r="133" spans="1:45" ht="14.25" customHeight="1" thickBot="1" x14ac:dyDescent="0.25">
      <c r="A133" s="70" t="s">
        <v>59</v>
      </c>
      <c r="B133" s="71">
        <v>2</v>
      </c>
      <c r="C133" s="71">
        <v>40</v>
      </c>
      <c r="D133" s="71" t="s">
        <v>64</v>
      </c>
      <c r="E133" s="72">
        <v>9</v>
      </c>
      <c r="F133" s="72">
        <v>6</v>
      </c>
      <c r="G133" s="71">
        <v>188.14</v>
      </c>
      <c r="H133" s="71">
        <v>250.04</v>
      </c>
      <c r="I133" s="87">
        <v>6.26</v>
      </c>
      <c r="J133" s="71">
        <v>1</v>
      </c>
      <c r="K133" s="75"/>
      <c r="L133" s="71" t="s">
        <v>98</v>
      </c>
      <c r="M133" s="88">
        <f t="shared" si="10"/>
        <v>0</v>
      </c>
      <c r="N133" s="88">
        <f t="shared" si="9"/>
        <v>0</v>
      </c>
      <c r="O133" s="72"/>
      <c r="P133" s="77">
        <v>42</v>
      </c>
      <c r="R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row>
    <row r="134" spans="1:45" ht="15.75" thickBot="1" x14ac:dyDescent="0.3">
      <c r="A134" s="92" t="s">
        <v>54</v>
      </c>
      <c r="B134" s="93"/>
      <c r="C134" s="94"/>
      <c r="D134" s="94"/>
      <c r="E134" s="94"/>
      <c r="F134" s="94"/>
      <c r="G134" s="95">
        <f>SUMIF(L94:L133,"כן",G94:G133)/COUNT(C94:C133)</f>
        <v>71.205750000000009</v>
      </c>
      <c r="H134" s="96"/>
      <c r="I134" s="202" t="s">
        <v>55</v>
      </c>
      <c r="J134" s="203"/>
      <c r="K134" s="203"/>
      <c r="L134" s="97">
        <f>COUNTIF(L94:L133,"כן")/COUNT(C94:C133)</f>
        <v>0.77500000000000002</v>
      </c>
      <c r="M134" s="97"/>
      <c r="N134" s="97"/>
      <c r="O134" s="98"/>
      <c r="P134" s="99"/>
      <c r="R134" s="100" t="s">
        <v>65</v>
      </c>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row>
    <row r="135" spans="1:45" x14ac:dyDescent="0.2">
      <c r="A135" s="101" t="s">
        <v>66</v>
      </c>
      <c r="B135" s="102">
        <v>2</v>
      </c>
      <c r="C135" s="102">
        <v>1</v>
      </c>
      <c r="D135" s="102" t="s">
        <v>67</v>
      </c>
      <c r="E135" s="103">
        <v>1</v>
      </c>
      <c r="F135" s="103">
        <v>3</v>
      </c>
      <c r="G135" s="103">
        <v>76.951999999999998</v>
      </c>
      <c r="H135" s="103">
        <f>8.816+42.609</f>
        <v>51.425000000000004</v>
      </c>
      <c r="I135" s="104">
        <v>5.57</v>
      </c>
      <c r="J135" s="102">
        <v>1</v>
      </c>
      <c r="K135" s="105">
        <f t="shared" ref="K135:K166" si="12">((IF(G135&gt;VLOOKUP(F135,$AO$15:$AP$24,2,FALSE),((G135-VLOOKUP(F135,$AO$15:$AP$24,2,FALSE))*85%+VLOOKUP(F135,$AO$15:$AP$24,2,FALSE)),G135))+IF(H135&gt;30,30*$AL$18+IF(H135&gt;60,30*$AL$19+IF(H135&gt;120,60*$AL$20,(H135-60)*$AL$20),(H135-30)*$AL$19),H135*$AL$18)+$AL$23*I135+J135*$AL$24)*$O$4</f>
        <v>1622649.8658999996</v>
      </c>
      <c r="L135" s="105" t="s">
        <v>97</v>
      </c>
      <c r="M135" s="106">
        <f>(1-($E$188-E135)*0.5%)*K135</f>
        <v>1549630.6219344996</v>
      </c>
      <c r="N135" s="105">
        <f>M135-MIN(300000,20%*M135)</f>
        <v>1249630.6219344996</v>
      </c>
      <c r="O135" s="107"/>
      <c r="P135" s="108">
        <v>185</v>
      </c>
      <c r="Q135" s="109"/>
      <c r="R135" s="109">
        <f>1-M135/K135</f>
        <v>4.500000000000004E-2</v>
      </c>
      <c r="S135" s="109"/>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row>
    <row r="136" spans="1:45" x14ac:dyDescent="0.2">
      <c r="A136" s="46" t="s">
        <v>66</v>
      </c>
      <c r="B136" s="47">
        <v>2</v>
      </c>
      <c r="C136" s="47">
        <v>2</v>
      </c>
      <c r="D136" s="47" t="s">
        <v>68</v>
      </c>
      <c r="E136" s="47">
        <v>1</v>
      </c>
      <c r="F136" s="47">
        <v>4</v>
      </c>
      <c r="G136" s="47">
        <v>103.83</v>
      </c>
      <c r="H136" s="47">
        <f>13.16+55.11</f>
        <v>68.27</v>
      </c>
      <c r="I136" s="49">
        <v>5.41</v>
      </c>
      <c r="J136" s="47">
        <v>1</v>
      </c>
      <c r="K136" s="50">
        <f t="shared" si="12"/>
        <v>2126905.5104599996</v>
      </c>
      <c r="L136" s="50" t="s">
        <v>97</v>
      </c>
      <c r="M136" s="91">
        <f t="shared" ref="M136:M193" si="13">(1-($E$188-E136)*0.5%)*K136</f>
        <v>2031194.7624892995</v>
      </c>
      <c r="N136" s="50">
        <f t="shared" ref="N136:N199" si="14">M136-MIN(300000,20%*M136)</f>
        <v>1731194.7624892995</v>
      </c>
      <c r="O136" s="110"/>
      <c r="P136" s="53">
        <v>74</v>
      </c>
      <c r="Q136" s="109"/>
      <c r="R136" s="109">
        <f t="shared" ref="R136:R193" si="15">1-M136/K136</f>
        <v>4.500000000000004E-2</v>
      </c>
      <c r="S136" s="109"/>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row>
    <row r="137" spans="1:45" x14ac:dyDescent="0.2">
      <c r="A137" s="46" t="s">
        <v>66</v>
      </c>
      <c r="B137" s="47">
        <v>2</v>
      </c>
      <c r="C137" s="47">
        <v>3</v>
      </c>
      <c r="D137" s="47" t="s">
        <v>69</v>
      </c>
      <c r="E137" s="47">
        <v>1</v>
      </c>
      <c r="F137" s="47">
        <v>3</v>
      </c>
      <c r="G137" s="47">
        <v>82.26</v>
      </c>
      <c r="H137" s="47">
        <v>13.56</v>
      </c>
      <c r="I137" s="49">
        <v>5.13</v>
      </c>
      <c r="J137" s="47">
        <v>1</v>
      </c>
      <c r="K137" s="50">
        <f t="shared" si="12"/>
        <v>1552480.7588</v>
      </c>
      <c r="L137" s="50" t="s">
        <v>97</v>
      </c>
      <c r="M137" s="91">
        <f t="shared" si="13"/>
        <v>1482619.1246539999</v>
      </c>
      <c r="N137" s="50">
        <f t="shared" si="14"/>
        <v>1186095.2997232</v>
      </c>
      <c r="O137" s="110"/>
      <c r="P137" s="53">
        <v>225</v>
      </c>
      <c r="Q137" s="109"/>
      <c r="R137" s="109">
        <f t="shared" si="15"/>
        <v>4.500000000000004E-2</v>
      </c>
      <c r="S137" s="109"/>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row>
    <row r="138" spans="1:45" x14ac:dyDescent="0.2">
      <c r="A138" s="46" t="s">
        <v>66</v>
      </c>
      <c r="B138" s="47">
        <v>2</v>
      </c>
      <c r="C138" s="47">
        <v>4</v>
      </c>
      <c r="D138" s="47" t="s">
        <v>70</v>
      </c>
      <c r="E138" s="52">
        <v>1</v>
      </c>
      <c r="F138" s="52">
        <v>5</v>
      </c>
      <c r="G138" s="52">
        <v>118.49</v>
      </c>
      <c r="H138" s="52">
        <v>13.87</v>
      </c>
      <c r="I138" s="63">
        <v>5.5</v>
      </c>
      <c r="J138" s="47">
        <v>1</v>
      </c>
      <c r="K138" s="50">
        <f t="shared" si="12"/>
        <v>2178952.6082599997</v>
      </c>
      <c r="L138" s="50" t="s">
        <v>97</v>
      </c>
      <c r="M138" s="91">
        <f t="shared" si="13"/>
        <v>2080899.7408882997</v>
      </c>
      <c r="N138" s="50">
        <f t="shared" si="14"/>
        <v>1780899.7408882997</v>
      </c>
      <c r="O138" s="110"/>
      <c r="P138" s="53">
        <v>81</v>
      </c>
      <c r="Q138" s="109"/>
      <c r="R138" s="109">
        <f t="shared" si="15"/>
        <v>4.500000000000004E-2</v>
      </c>
      <c r="S138" s="109"/>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row>
    <row r="139" spans="1:45" x14ac:dyDescent="0.2">
      <c r="A139" s="46" t="s">
        <v>66</v>
      </c>
      <c r="B139" s="47">
        <v>2</v>
      </c>
      <c r="C139" s="47">
        <v>5</v>
      </c>
      <c r="D139" s="47" t="s">
        <v>71</v>
      </c>
      <c r="E139" s="52">
        <v>1</v>
      </c>
      <c r="F139" s="52">
        <v>4</v>
      </c>
      <c r="G139" s="52">
        <v>99.43</v>
      </c>
      <c r="H139" s="52">
        <f>12.38+38.48</f>
        <v>50.86</v>
      </c>
      <c r="I139" s="49">
        <v>5.35</v>
      </c>
      <c r="J139" s="47">
        <v>1</v>
      </c>
      <c r="K139" s="50">
        <f t="shared" si="12"/>
        <v>2005307.6869199998</v>
      </c>
      <c r="L139" s="50" t="s">
        <v>97</v>
      </c>
      <c r="M139" s="91">
        <f t="shared" si="13"/>
        <v>1915068.8410085996</v>
      </c>
      <c r="N139" s="50">
        <f t="shared" si="14"/>
        <v>1615068.8410085996</v>
      </c>
      <c r="O139" s="110"/>
      <c r="P139" s="53">
        <v>78</v>
      </c>
      <c r="Q139" s="109"/>
      <c r="R139" s="109">
        <f t="shared" si="15"/>
        <v>4.500000000000004E-2</v>
      </c>
      <c r="S139" s="109"/>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row>
    <row r="140" spans="1:45" x14ac:dyDescent="0.2">
      <c r="A140" s="46" t="s">
        <v>66</v>
      </c>
      <c r="B140" s="47">
        <v>2</v>
      </c>
      <c r="C140" s="47">
        <v>6</v>
      </c>
      <c r="D140" s="47" t="s">
        <v>40</v>
      </c>
      <c r="E140" s="52">
        <v>2</v>
      </c>
      <c r="F140" s="52">
        <v>3</v>
      </c>
      <c r="G140" s="52">
        <v>77.31</v>
      </c>
      <c r="H140" s="52">
        <v>9.8699999999999992</v>
      </c>
      <c r="I140" s="49">
        <v>4.8499999999999996</v>
      </c>
      <c r="J140" s="47">
        <v>1</v>
      </c>
      <c r="K140" s="50">
        <f t="shared" si="12"/>
        <v>1446514.24186</v>
      </c>
      <c r="L140" s="50" t="s">
        <v>97</v>
      </c>
      <c r="M140" s="91">
        <f t="shared" si="13"/>
        <v>1388653.6721855998</v>
      </c>
      <c r="N140" s="50">
        <f t="shared" si="14"/>
        <v>1110922.9377484799</v>
      </c>
      <c r="O140" s="110"/>
      <c r="P140" s="53">
        <v>187</v>
      </c>
      <c r="Q140" s="109"/>
      <c r="R140" s="109">
        <f t="shared" si="15"/>
        <v>4.0000000000000147E-2</v>
      </c>
      <c r="S140" s="109"/>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row>
    <row r="141" spans="1:45" x14ac:dyDescent="0.2">
      <c r="A141" s="46" t="s">
        <v>66</v>
      </c>
      <c r="B141" s="47">
        <v>2</v>
      </c>
      <c r="C141" s="47">
        <v>7</v>
      </c>
      <c r="D141" s="47" t="s">
        <v>41</v>
      </c>
      <c r="E141" s="52">
        <v>2</v>
      </c>
      <c r="F141" s="52">
        <v>4</v>
      </c>
      <c r="G141" s="52">
        <v>100.75</v>
      </c>
      <c r="H141" s="52">
        <v>11.97</v>
      </c>
      <c r="I141" s="63">
        <v>6.41</v>
      </c>
      <c r="J141" s="47">
        <v>1</v>
      </c>
      <c r="K141" s="50">
        <f t="shared" si="12"/>
        <v>1870689.5003</v>
      </c>
      <c r="L141" s="50" t="s">
        <v>97</v>
      </c>
      <c r="M141" s="91">
        <f t="shared" si="13"/>
        <v>1795861.9202879998</v>
      </c>
      <c r="N141" s="50">
        <f t="shared" si="14"/>
        <v>1495861.9202879998</v>
      </c>
      <c r="O141" s="110"/>
      <c r="P141" s="53">
        <v>184</v>
      </c>
      <c r="Q141" s="109"/>
      <c r="R141" s="109">
        <f t="shared" si="15"/>
        <v>4.0000000000000036E-2</v>
      </c>
      <c r="S141" s="109"/>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row>
    <row r="142" spans="1:45" x14ac:dyDescent="0.2">
      <c r="A142" s="46" t="s">
        <v>66</v>
      </c>
      <c r="B142" s="47">
        <v>2</v>
      </c>
      <c r="C142" s="47">
        <v>8</v>
      </c>
      <c r="D142" s="47" t="s">
        <v>45</v>
      </c>
      <c r="E142" s="52">
        <v>2</v>
      </c>
      <c r="F142" s="52">
        <v>4</v>
      </c>
      <c r="G142" s="52">
        <v>103.15</v>
      </c>
      <c r="H142" s="52">
        <v>13.16</v>
      </c>
      <c r="I142" s="49">
        <v>7.36</v>
      </c>
      <c r="J142" s="47">
        <v>1</v>
      </c>
      <c r="K142" s="50">
        <f t="shared" si="12"/>
        <v>1924574.5649199998</v>
      </c>
      <c r="L142" s="50" t="s">
        <v>97</v>
      </c>
      <c r="M142" s="91">
        <f t="shared" si="13"/>
        <v>1847591.5823231998</v>
      </c>
      <c r="N142" s="50">
        <f t="shared" si="14"/>
        <v>1547591.5823231998</v>
      </c>
      <c r="O142" s="110"/>
      <c r="P142" s="53">
        <v>188</v>
      </c>
      <c r="Q142" s="109"/>
      <c r="R142" s="109">
        <f t="shared" si="15"/>
        <v>4.0000000000000036E-2</v>
      </c>
      <c r="S142" s="109"/>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row>
    <row r="143" spans="1:45" x14ac:dyDescent="0.2">
      <c r="A143" s="46" t="s">
        <v>66</v>
      </c>
      <c r="B143" s="47">
        <v>2</v>
      </c>
      <c r="C143" s="47">
        <v>9</v>
      </c>
      <c r="D143" s="47" t="s">
        <v>69</v>
      </c>
      <c r="E143" s="52">
        <v>2</v>
      </c>
      <c r="F143" s="52">
        <v>3</v>
      </c>
      <c r="G143" s="52">
        <v>82.26</v>
      </c>
      <c r="H143" s="52">
        <v>13.55</v>
      </c>
      <c r="I143" s="49">
        <v>5.18</v>
      </c>
      <c r="J143" s="47">
        <v>1</v>
      </c>
      <c r="K143" s="50">
        <f t="shared" si="12"/>
        <v>1552772.7722199999</v>
      </c>
      <c r="L143" s="50" t="s">
        <v>97</v>
      </c>
      <c r="M143" s="91">
        <f t="shared" si="13"/>
        <v>1490661.8613311998</v>
      </c>
      <c r="N143" s="50">
        <f t="shared" si="14"/>
        <v>1192529.4890649598</v>
      </c>
      <c r="O143" s="110"/>
      <c r="P143" s="53">
        <v>186</v>
      </c>
      <c r="Q143" s="109"/>
      <c r="R143" s="109">
        <f t="shared" si="15"/>
        <v>4.0000000000000147E-2</v>
      </c>
      <c r="S143" s="109"/>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row>
    <row r="144" spans="1:45" x14ac:dyDescent="0.2">
      <c r="A144" s="46" t="s">
        <v>66</v>
      </c>
      <c r="B144" s="47">
        <v>2</v>
      </c>
      <c r="C144" s="47">
        <v>10</v>
      </c>
      <c r="D144" s="47" t="s">
        <v>70</v>
      </c>
      <c r="E144" s="52">
        <v>2</v>
      </c>
      <c r="F144" s="52">
        <v>5</v>
      </c>
      <c r="G144" s="52">
        <v>118.49</v>
      </c>
      <c r="H144" s="52">
        <v>13.87</v>
      </c>
      <c r="I144" s="63">
        <v>5.57</v>
      </c>
      <c r="J144" s="47">
        <v>1</v>
      </c>
      <c r="K144" s="50">
        <f t="shared" si="12"/>
        <v>2179433.5715399995</v>
      </c>
      <c r="L144" s="50" t="s">
        <v>97</v>
      </c>
      <c r="M144" s="91">
        <f t="shared" si="13"/>
        <v>2092256.2286783995</v>
      </c>
      <c r="N144" s="50">
        <f t="shared" si="14"/>
        <v>1792256.2286783995</v>
      </c>
      <c r="O144" s="110"/>
      <c r="P144" s="53">
        <v>48</v>
      </c>
      <c r="Q144" s="109"/>
      <c r="R144" s="109">
        <f t="shared" si="15"/>
        <v>4.0000000000000036E-2</v>
      </c>
      <c r="S144" s="109"/>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row>
    <row r="145" spans="1:45" x14ac:dyDescent="0.2">
      <c r="A145" s="46" t="s">
        <v>66</v>
      </c>
      <c r="B145" s="47">
        <v>2</v>
      </c>
      <c r="C145" s="47">
        <v>11</v>
      </c>
      <c r="D145" s="47" t="s">
        <v>72</v>
      </c>
      <c r="E145" s="52">
        <v>2</v>
      </c>
      <c r="F145" s="52">
        <v>4</v>
      </c>
      <c r="G145" s="52">
        <v>99.43</v>
      </c>
      <c r="H145" s="52">
        <v>12.38</v>
      </c>
      <c r="I145" s="49">
        <v>5.83</v>
      </c>
      <c r="J145" s="47">
        <v>1</v>
      </c>
      <c r="K145" s="50">
        <f t="shared" si="12"/>
        <v>1846143.1957599998</v>
      </c>
      <c r="L145" s="50" t="s">
        <v>97</v>
      </c>
      <c r="M145" s="91">
        <f t="shared" si="13"/>
        <v>1772297.4679295998</v>
      </c>
      <c r="N145" s="50">
        <f t="shared" si="14"/>
        <v>1472297.4679295998</v>
      </c>
      <c r="O145" s="110"/>
      <c r="P145" s="53">
        <v>206</v>
      </c>
      <c r="Q145" s="109"/>
      <c r="R145" s="109">
        <f t="shared" si="15"/>
        <v>4.0000000000000036E-2</v>
      </c>
      <c r="S145" s="109"/>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row>
    <row r="146" spans="1:45" x14ac:dyDescent="0.2">
      <c r="A146" s="46" t="s">
        <v>66</v>
      </c>
      <c r="B146" s="47">
        <v>2</v>
      </c>
      <c r="C146" s="47">
        <v>12</v>
      </c>
      <c r="D146" s="47" t="s">
        <v>40</v>
      </c>
      <c r="E146" s="52">
        <v>3</v>
      </c>
      <c r="F146" s="52">
        <v>3</v>
      </c>
      <c r="G146" s="52">
        <v>77.31</v>
      </c>
      <c r="H146" s="52">
        <v>9.8699999999999992</v>
      </c>
      <c r="I146" s="49">
        <v>5.28</v>
      </c>
      <c r="J146" s="47">
        <v>1</v>
      </c>
      <c r="K146" s="50">
        <f t="shared" si="12"/>
        <v>1449468.7305799997</v>
      </c>
      <c r="L146" s="50" t="s">
        <v>97</v>
      </c>
      <c r="M146" s="91">
        <f t="shared" si="13"/>
        <v>1398737.3250096997</v>
      </c>
      <c r="N146" s="50">
        <f t="shared" si="14"/>
        <v>1118989.8600077596</v>
      </c>
      <c r="O146" s="110"/>
      <c r="P146" s="53">
        <v>76</v>
      </c>
      <c r="Q146" s="109"/>
      <c r="R146" s="109">
        <f t="shared" si="15"/>
        <v>3.5000000000000031E-2</v>
      </c>
      <c r="S146" s="109"/>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row>
    <row r="147" spans="1:45" x14ac:dyDescent="0.2">
      <c r="A147" s="46" t="s">
        <v>66</v>
      </c>
      <c r="B147" s="47">
        <v>2</v>
      </c>
      <c r="C147" s="47">
        <v>13</v>
      </c>
      <c r="D147" s="47" t="s">
        <v>41</v>
      </c>
      <c r="E147" s="52">
        <v>3</v>
      </c>
      <c r="F147" s="52">
        <v>4</v>
      </c>
      <c r="G147" s="52">
        <v>100.75</v>
      </c>
      <c r="H147" s="52">
        <v>11.97</v>
      </c>
      <c r="I147" s="63">
        <v>6.87</v>
      </c>
      <c r="J147" s="47">
        <v>1</v>
      </c>
      <c r="K147" s="50">
        <f t="shared" si="12"/>
        <v>1873850.1161399998</v>
      </c>
      <c r="L147" s="50" t="s">
        <v>97</v>
      </c>
      <c r="M147" s="91">
        <f t="shared" si="13"/>
        <v>1808265.3620750997</v>
      </c>
      <c r="N147" s="50">
        <f t="shared" si="14"/>
        <v>1508265.3620750997</v>
      </c>
      <c r="O147" s="110"/>
      <c r="P147" s="53">
        <v>114</v>
      </c>
      <c r="Q147" s="109"/>
      <c r="R147" s="109">
        <f t="shared" si="15"/>
        <v>3.5000000000000031E-2</v>
      </c>
      <c r="S147" s="109"/>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row>
    <row r="148" spans="1:45" x14ac:dyDescent="0.2">
      <c r="A148" s="46" t="s">
        <v>66</v>
      </c>
      <c r="B148" s="47">
        <v>2</v>
      </c>
      <c r="C148" s="47">
        <v>14</v>
      </c>
      <c r="D148" s="47" t="s">
        <v>45</v>
      </c>
      <c r="E148" s="52">
        <v>3</v>
      </c>
      <c r="F148" s="52">
        <v>4</v>
      </c>
      <c r="G148" s="52">
        <v>103.15</v>
      </c>
      <c r="H148" s="52">
        <v>13.16</v>
      </c>
      <c r="I148" s="49">
        <v>7.41</v>
      </c>
      <c r="J148" s="47">
        <v>1</v>
      </c>
      <c r="K148" s="50">
        <f t="shared" si="12"/>
        <v>1924918.1101199999</v>
      </c>
      <c r="L148" s="50" t="s">
        <v>97</v>
      </c>
      <c r="M148" s="91">
        <f t="shared" si="13"/>
        <v>1857545.9762657997</v>
      </c>
      <c r="N148" s="50">
        <f t="shared" si="14"/>
        <v>1557545.9762657997</v>
      </c>
      <c r="O148" s="110"/>
      <c r="P148" s="53">
        <v>203</v>
      </c>
      <c r="Q148" s="109"/>
      <c r="R148" s="109">
        <f t="shared" si="15"/>
        <v>3.5000000000000031E-2</v>
      </c>
      <c r="S148" s="109"/>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row>
    <row r="149" spans="1:45" x14ac:dyDescent="0.2">
      <c r="A149" s="46" t="s">
        <v>66</v>
      </c>
      <c r="B149" s="47">
        <v>2</v>
      </c>
      <c r="C149" s="47">
        <v>15</v>
      </c>
      <c r="D149" s="47" t="s">
        <v>69</v>
      </c>
      <c r="E149" s="52">
        <v>3</v>
      </c>
      <c r="F149" s="52">
        <v>3</v>
      </c>
      <c r="G149" s="52">
        <v>82.26</v>
      </c>
      <c r="H149" s="52">
        <v>13.55</v>
      </c>
      <c r="I149" s="49">
        <v>5.2</v>
      </c>
      <c r="J149" s="47">
        <v>1</v>
      </c>
      <c r="K149" s="50">
        <f t="shared" si="12"/>
        <v>1552910.1902999999</v>
      </c>
      <c r="L149" s="50" t="s">
        <v>97</v>
      </c>
      <c r="M149" s="91">
        <f t="shared" si="13"/>
        <v>1498558.3336395</v>
      </c>
      <c r="N149" s="50">
        <f t="shared" si="14"/>
        <v>1198846.6669115999</v>
      </c>
      <c r="O149" s="110"/>
      <c r="P149" s="53">
        <v>154</v>
      </c>
      <c r="Q149" s="109"/>
      <c r="R149" s="109">
        <f t="shared" si="15"/>
        <v>3.499999999999992E-2</v>
      </c>
      <c r="S149" s="109"/>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row>
    <row r="150" spans="1:45" x14ac:dyDescent="0.2">
      <c r="A150" s="46" t="s">
        <v>66</v>
      </c>
      <c r="B150" s="47">
        <v>2</v>
      </c>
      <c r="C150" s="47">
        <v>16</v>
      </c>
      <c r="D150" s="47" t="s">
        <v>70</v>
      </c>
      <c r="E150" s="52">
        <v>3</v>
      </c>
      <c r="F150" s="52">
        <v>5</v>
      </c>
      <c r="G150" s="52">
        <v>118.49</v>
      </c>
      <c r="H150" s="52">
        <v>13.87</v>
      </c>
      <c r="I150" s="63">
        <v>5.7</v>
      </c>
      <c r="J150" s="47">
        <v>1</v>
      </c>
      <c r="K150" s="50">
        <f t="shared" si="12"/>
        <v>2180326.7890599999</v>
      </c>
      <c r="L150" s="50" t="s">
        <v>97</v>
      </c>
      <c r="M150" s="91">
        <f t="shared" si="13"/>
        <v>2104015.3514429</v>
      </c>
      <c r="N150" s="50">
        <f t="shared" si="14"/>
        <v>1804015.3514429</v>
      </c>
      <c r="O150" s="110"/>
      <c r="P150" s="53">
        <v>73</v>
      </c>
      <c r="Q150" s="109"/>
      <c r="R150" s="109">
        <f t="shared" si="15"/>
        <v>3.499999999999992E-2</v>
      </c>
      <c r="S150" s="109"/>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row>
    <row r="151" spans="1:45" x14ac:dyDescent="0.2">
      <c r="A151" s="46" t="s">
        <v>66</v>
      </c>
      <c r="B151" s="47">
        <v>2</v>
      </c>
      <c r="C151" s="47">
        <v>17</v>
      </c>
      <c r="D151" s="47" t="s">
        <v>72</v>
      </c>
      <c r="E151" s="52">
        <v>3</v>
      </c>
      <c r="F151" s="52">
        <v>4</v>
      </c>
      <c r="G151" s="52">
        <v>99.43</v>
      </c>
      <c r="H151" s="52">
        <v>12.38</v>
      </c>
      <c r="I151" s="49">
        <v>5.91</v>
      </c>
      <c r="J151" s="47">
        <v>1</v>
      </c>
      <c r="K151" s="50">
        <f t="shared" si="12"/>
        <v>1846692.8680799999</v>
      </c>
      <c r="L151" s="50" t="s">
        <v>97</v>
      </c>
      <c r="M151" s="91">
        <f t="shared" si="13"/>
        <v>1782058.6176971998</v>
      </c>
      <c r="N151" s="50">
        <f t="shared" si="14"/>
        <v>1482058.6176971998</v>
      </c>
      <c r="O151" s="110"/>
      <c r="P151" s="53">
        <v>220</v>
      </c>
      <c r="Q151" s="109"/>
      <c r="R151" s="109">
        <f t="shared" si="15"/>
        <v>3.5000000000000031E-2</v>
      </c>
      <c r="S151" s="109"/>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row>
    <row r="152" spans="1:45" x14ac:dyDescent="0.2">
      <c r="A152" s="46" t="s">
        <v>66</v>
      </c>
      <c r="B152" s="47">
        <v>2</v>
      </c>
      <c r="C152" s="47">
        <v>18</v>
      </c>
      <c r="D152" s="47" t="s">
        <v>40</v>
      </c>
      <c r="E152" s="52">
        <v>4</v>
      </c>
      <c r="F152" s="52">
        <v>3</v>
      </c>
      <c r="G152" s="52">
        <v>77.31</v>
      </c>
      <c r="H152" s="52">
        <v>9.8699999999999992</v>
      </c>
      <c r="I152" s="49">
        <v>6.34</v>
      </c>
      <c r="J152" s="47">
        <v>1</v>
      </c>
      <c r="K152" s="50">
        <f t="shared" si="12"/>
        <v>1456751.88882</v>
      </c>
      <c r="L152" s="50" t="s">
        <v>97</v>
      </c>
      <c r="M152" s="91">
        <f t="shared" si="13"/>
        <v>1413049.3321554</v>
      </c>
      <c r="N152" s="50">
        <f t="shared" si="14"/>
        <v>1130439.4657243199</v>
      </c>
      <c r="O152" s="110"/>
      <c r="P152" s="53">
        <v>75</v>
      </c>
      <c r="Q152" s="109"/>
      <c r="R152" s="109">
        <f t="shared" si="15"/>
        <v>3.0000000000000027E-2</v>
      </c>
      <c r="S152" s="109"/>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row>
    <row r="153" spans="1:45" x14ac:dyDescent="0.2">
      <c r="A153" s="46" t="s">
        <v>66</v>
      </c>
      <c r="B153" s="47">
        <v>2</v>
      </c>
      <c r="C153" s="47">
        <v>19</v>
      </c>
      <c r="D153" s="47" t="s">
        <v>41</v>
      </c>
      <c r="E153" s="52">
        <v>4</v>
      </c>
      <c r="F153" s="52">
        <v>4</v>
      </c>
      <c r="G153" s="52">
        <v>100.75</v>
      </c>
      <c r="H153" s="52">
        <v>11.97</v>
      </c>
      <c r="I153" s="63">
        <v>6.99</v>
      </c>
      <c r="J153" s="47">
        <v>1</v>
      </c>
      <c r="K153" s="50">
        <f t="shared" si="12"/>
        <v>1874674.6246199999</v>
      </c>
      <c r="L153" s="50" t="s">
        <v>97</v>
      </c>
      <c r="M153" s="91">
        <f t="shared" si="13"/>
        <v>1818434.3858814</v>
      </c>
      <c r="N153" s="50">
        <f t="shared" si="14"/>
        <v>1518434.3858814</v>
      </c>
      <c r="O153" s="110"/>
      <c r="P153" s="53">
        <v>174</v>
      </c>
      <c r="Q153" s="109"/>
      <c r="R153" s="109">
        <f t="shared" si="15"/>
        <v>2.9999999999999916E-2</v>
      </c>
      <c r="S153" s="109"/>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row>
    <row r="154" spans="1:45" x14ac:dyDescent="0.2">
      <c r="A154" s="46" t="s">
        <v>66</v>
      </c>
      <c r="B154" s="47">
        <v>2</v>
      </c>
      <c r="C154" s="47">
        <v>20</v>
      </c>
      <c r="D154" s="47" t="s">
        <v>45</v>
      </c>
      <c r="E154" s="52">
        <v>4</v>
      </c>
      <c r="F154" s="52">
        <v>4</v>
      </c>
      <c r="G154" s="52">
        <v>103.15</v>
      </c>
      <c r="H154" s="52">
        <v>13.16</v>
      </c>
      <c r="I154" s="49">
        <v>7.65</v>
      </c>
      <c r="J154" s="47">
        <v>1</v>
      </c>
      <c r="K154" s="50">
        <f t="shared" si="12"/>
        <v>1926567.1270799998</v>
      </c>
      <c r="L154" s="50" t="s">
        <v>97</v>
      </c>
      <c r="M154" s="91">
        <f t="shared" si="13"/>
        <v>1868770.1132675998</v>
      </c>
      <c r="N154" s="50">
        <f t="shared" si="14"/>
        <v>1568770.1132675998</v>
      </c>
      <c r="O154" s="110"/>
      <c r="P154" s="53">
        <v>178</v>
      </c>
      <c r="Q154" s="109"/>
      <c r="R154" s="109">
        <f t="shared" si="15"/>
        <v>2.9999999999999916E-2</v>
      </c>
      <c r="S154" s="109"/>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row>
    <row r="155" spans="1:45" x14ac:dyDescent="0.2">
      <c r="A155" s="46" t="s">
        <v>66</v>
      </c>
      <c r="B155" s="47">
        <v>2</v>
      </c>
      <c r="C155" s="47">
        <v>21</v>
      </c>
      <c r="D155" s="47" t="s">
        <v>69</v>
      </c>
      <c r="E155" s="52">
        <v>4</v>
      </c>
      <c r="F155" s="52">
        <v>3</v>
      </c>
      <c r="G155" s="52">
        <v>82.26</v>
      </c>
      <c r="H155" s="52">
        <v>13.55</v>
      </c>
      <c r="I155" s="49">
        <v>5.24</v>
      </c>
      <c r="J155" s="47">
        <v>1</v>
      </c>
      <c r="K155" s="50">
        <f t="shared" si="12"/>
        <v>1553185.0264600001</v>
      </c>
      <c r="L155" s="50" t="s">
        <v>97</v>
      </c>
      <c r="M155" s="91">
        <f t="shared" si="13"/>
        <v>1506589.4756662</v>
      </c>
      <c r="N155" s="50">
        <f t="shared" si="14"/>
        <v>1206589.4756662</v>
      </c>
      <c r="O155" s="110"/>
      <c r="P155" s="53">
        <v>151</v>
      </c>
      <c r="Q155" s="109"/>
      <c r="R155" s="109">
        <f t="shared" si="15"/>
        <v>3.0000000000000027E-2</v>
      </c>
      <c r="S155" s="109"/>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row>
    <row r="156" spans="1:45" x14ac:dyDescent="0.2">
      <c r="A156" s="46" t="s">
        <v>66</v>
      </c>
      <c r="B156" s="47">
        <v>2</v>
      </c>
      <c r="C156" s="47">
        <v>22</v>
      </c>
      <c r="D156" s="47" t="s">
        <v>70</v>
      </c>
      <c r="E156" s="52">
        <v>4</v>
      </c>
      <c r="F156" s="52">
        <v>5</v>
      </c>
      <c r="G156" s="52">
        <v>118.49</v>
      </c>
      <c r="H156" s="52">
        <v>13.87</v>
      </c>
      <c r="I156" s="49">
        <v>5.74</v>
      </c>
      <c r="J156" s="47">
        <v>1</v>
      </c>
      <c r="K156" s="50">
        <f t="shared" si="12"/>
        <v>2180601.6252199998</v>
      </c>
      <c r="L156" s="50" t="s">
        <v>97</v>
      </c>
      <c r="M156" s="91">
        <f t="shared" si="13"/>
        <v>2115183.5764633999</v>
      </c>
      <c r="N156" s="50">
        <f t="shared" si="14"/>
        <v>1815183.5764633999</v>
      </c>
      <c r="O156" s="110"/>
      <c r="P156" s="53">
        <v>57</v>
      </c>
      <c r="Q156" s="109"/>
      <c r="R156" s="109">
        <f t="shared" si="15"/>
        <v>2.9999999999999916E-2</v>
      </c>
      <c r="S156" s="109"/>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row>
    <row r="157" spans="1:45" x14ac:dyDescent="0.2">
      <c r="A157" s="46" t="s">
        <v>66</v>
      </c>
      <c r="B157" s="47">
        <v>2</v>
      </c>
      <c r="C157" s="47">
        <v>23</v>
      </c>
      <c r="D157" s="47" t="s">
        <v>72</v>
      </c>
      <c r="E157" s="52">
        <v>4</v>
      </c>
      <c r="F157" s="52">
        <v>4</v>
      </c>
      <c r="G157" s="52">
        <v>99.43</v>
      </c>
      <c r="H157" s="52">
        <v>12.38</v>
      </c>
      <c r="I157" s="63">
        <v>5.96</v>
      </c>
      <c r="J157" s="47">
        <v>1</v>
      </c>
      <c r="K157" s="50">
        <f t="shared" si="12"/>
        <v>1847036.41328</v>
      </c>
      <c r="L157" s="50" t="s">
        <v>97</v>
      </c>
      <c r="M157" s="91">
        <f t="shared" si="13"/>
        <v>1791625.3208816</v>
      </c>
      <c r="N157" s="50">
        <f t="shared" si="14"/>
        <v>1491625.3208816</v>
      </c>
      <c r="O157" s="110"/>
      <c r="P157" s="53">
        <v>193</v>
      </c>
      <c r="Q157" s="109"/>
      <c r="R157" s="109">
        <f t="shared" si="15"/>
        <v>3.0000000000000027E-2</v>
      </c>
      <c r="S157" s="109"/>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row>
    <row r="158" spans="1:45" x14ac:dyDescent="0.2">
      <c r="A158" s="46" t="s">
        <v>66</v>
      </c>
      <c r="B158" s="47">
        <v>2</v>
      </c>
      <c r="C158" s="47">
        <v>24</v>
      </c>
      <c r="D158" s="47" t="s">
        <v>40</v>
      </c>
      <c r="E158" s="52">
        <v>5</v>
      </c>
      <c r="F158" s="52">
        <v>3</v>
      </c>
      <c r="G158" s="52">
        <v>77.31</v>
      </c>
      <c r="H158" s="52">
        <v>9.8699999999999992</v>
      </c>
      <c r="I158" s="49">
        <v>5.99</v>
      </c>
      <c r="J158" s="47">
        <v>1</v>
      </c>
      <c r="K158" s="50">
        <f t="shared" si="12"/>
        <v>1454347.0724199999</v>
      </c>
      <c r="L158" s="50" t="s">
        <v>97</v>
      </c>
      <c r="M158" s="91">
        <f t="shared" si="13"/>
        <v>1417988.3956094999</v>
      </c>
      <c r="N158" s="50">
        <f t="shared" si="14"/>
        <v>1134390.7164876</v>
      </c>
      <c r="O158" s="110"/>
      <c r="P158" s="53">
        <v>93</v>
      </c>
      <c r="Q158" s="109"/>
      <c r="R158" s="109">
        <f t="shared" si="15"/>
        <v>2.5000000000000022E-2</v>
      </c>
      <c r="S158" s="109"/>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row>
    <row r="159" spans="1:45" x14ac:dyDescent="0.2">
      <c r="A159" s="46" t="s">
        <v>66</v>
      </c>
      <c r="B159" s="47">
        <v>2</v>
      </c>
      <c r="C159" s="47">
        <v>25</v>
      </c>
      <c r="D159" s="47" t="s">
        <v>41</v>
      </c>
      <c r="E159" s="52">
        <v>5</v>
      </c>
      <c r="F159" s="52">
        <v>4</v>
      </c>
      <c r="G159" s="52">
        <v>100.75</v>
      </c>
      <c r="H159" s="52">
        <v>11.97</v>
      </c>
      <c r="I159" s="49">
        <v>7.08</v>
      </c>
      <c r="J159" s="47">
        <v>1</v>
      </c>
      <c r="K159" s="50">
        <f t="shared" si="12"/>
        <v>1875293.0059799997</v>
      </c>
      <c r="L159" s="50" t="s">
        <v>97</v>
      </c>
      <c r="M159" s="91">
        <f t="shared" si="13"/>
        <v>1828410.6808304996</v>
      </c>
      <c r="N159" s="50">
        <f t="shared" si="14"/>
        <v>1528410.6808304996</v>
      </c>
      <c r="O159" s="110"/>
      <c r="P159" s="53">
        <v>192</v>
      </c>
      <c r="Q159" s="109"/>
      <c r="R159" s="109">
        <f t="shared" si="15"/>
        <v>2.5000000000000022E-2</v>
      </c>
      <c r="S159" s="109"/>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row>
    <row r="160" spans="1:45" x14ac:dyDescent="0.2">
      <c r="A160" s="46" t="s">
        <v>66</v>
      </c>
      <c r="B160" s="47">
        <v>2</v>
      </c>
      <c r="C160" s="47">
        <v>26</v>
      </c>
      <c r="D160" s="47" t="s">
        <v>45</v>
      </c>
      <c r="E160" s="52">
        <v>5</v>
      </c>
      <c r="F160" s="52">
        <v>4</v>
      </c>
      <c r="G160" s="52">
        <v>103.15</v>
      </c>
      <c r="H160" s="52">
        <v>13.16</v>
      </c>
      <c r="I160" s="63">
        <v>8.25</v>
      </c>
      <c r="J160" s="47">
        <v>1</v>
      </c>
      <c r="K160" s="50">
        <f t="shared" si="12"/>
        <v>1930689.6694799997</v>
      </c>
      <c r="L160" s="50" t="s">
        <v>97</v>
      </c>
      <c r="M160" s="91">
        <f t="shared" si="13"/>
        <v>1882422.4277429997</v>
      </c>
      <c r="N160" s="50">
        <f t="shared" si="14"/>
        <v>1582422.4277429997</v>
      </c>
      <c r="O160" s="110"/>
      <c r="P160" s="53">
        <v>119</v>
      </c>
      <c r="Q160" s="109"/>
      <c r="R160" s="109">
        <f t="shared" si="15"/>
        <v>2.5000000000000022E-2</v>
      </c>
      <c r="S160" s="109"/>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row>
    <row r="161" spans="1:45" x14ac:dyDescent="0.2">
      <c r="A161" s="46" t="s">
        <v>66</v>
      </c>
      <c r="B161" s="47">
        <v>2</v>
      </c>
      <c r="C161" s="47">
        <v>27</v>
      </c>
      <c r="D161" s="47" t="s">
        <v>69</v>
      </c>
      <c r="E161" s="52">
        <v>5</v>
      </c>
      <c r="F161" s="52">
        <v>3</v>
      </c>
      <c r="G161" s="52">
        <v>82.26</v>
      </c>
      <c r="H161" s="52">
        <v>13.55</v>
      </c>
      <c r="I161" s="49">
        <v>5.27</v>
      </c>
      <c r="J161" s="47">
        <v>1</v>
      </c>
      <c r="K161" s="50">
        <f t="shared" si="12"/>
        <v>1553391.1535799999</v>
      </c>
      <c r="L161" s="50" t="s">
        <v>97</v>
      </c>
      <c r="M161" s="91">
        <f t="shared" si="13"/>
        <v>1514556.3747405</v>
      </c>
      <c r="N161" s="50">
        <f t="shared" si="14"/>
        <v>1214556.3747405</v>
      </c>
      <c r="O161" s="110"/>
      <c r="P161" s="53">
        <v>84</v>
      </c>
      <c r="Q161" s="109"/>
      <c r="R161" s="109">
        <f t="shared" si="15"/>
        <v>2.4999999999999911E-2</v>
      </c>
      <c r="S161" s="109"/>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row>
    <row r="162" spans="1:45" x14ac:dyDescent="0.2">
      <c r="A162" s="46" t="s">
        <v>66</v>
      </c>
      <c r="B162" s="47">
        <v>2</v>
      </c>
      <c r="C162" s="47">
        <v>28</v>
      </c>
      <c r="D162" s="47" t="s">
        <v>70</v>
      </c>
      <c r="E162" s="52">
        <v>5</v>
      </c>
      <c r="F162" s="52">
        <v>5</v>
      </c>
      <c r="G162" s="52">
        <v>118.49</v>
      </c>
      <c r="H162" s="52">
        <v>13.87</v>
      </c>
      <c r="I162" s="49">
        <v>6.02</v>
      </c>
      <c r="J162" s="47">
        <v>1</v>
      </c>
      <c r="K162" s="50">
        <f t="shared" si="12"/>
        <v>2182525.4783399999</v>
      </c>
      <c r="L162" s="50" t="s">
        <v>97</v>
      </c>
      <c r="M162" s="91">
        <f t="shared" si="13"/>
        <v>2127962.3413815</v>
      </c>
      <c r="N162" s="50">
        <f t="shared" si="14"/>
        <v>1827962.3413815</v>
      </c>
      <c r="O162" s="110"/>
      <c r="P162" s="53">
        <v>94</v>
      </c>
      <c r="Q162" s="109"/>
      <c r="R162" s="109">
        <f t="shared" si="15"/>
        <v>2.4999999999999911E-2</v>
      </c>
      <c r="S162" s="109"/>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row>
    <row r="163" spans="1:45" x14ac:dyDescent="0.2">
      <c r="A163" s="46" t="s">
        <v>66</v>
      </c>
      <c r="B163" s="47">
        <v>2</v>
      </c>
      <c r="C163" s="47">
        <v>29</v>
      </c>
      <c r="D163" s="47" t="s">
        <v>72</v>
      </c>
      <c r="E163" s="52">
        <v>5</v>
      </c>
      <c r="F163" s="52">
        <v>4</v>
      </c>
      <c r="G163" s="52">
        <v>99.43</v>
      </c>
      <c r="H163" s="52">
        <v>12.38</v>
      </c>
      <c r="I163" s="63">
        <v>6.78</v>
      </c>
      <c r="J163" s="47">
        <v>1</v>
      </c>
      <c r="K163" s="50">
        <f t="shared" si="12"/>
        <v>1852670.5545600001</v>
      </c>
      <c r="L163" s="50" t="s">
        <v>97</v>
      </c>
      <c r="M163" s="91">
        <f t="shared" si="13"/>
        <v>1806353.790696</v>
      </c>
      <c r="N163" s="50">
        <f t="shared" si="14"/>
        <v>1506353.790696</v>
      </c>
      <c r="O163" s="110"/>
      <c r="P163" s="53">
        <v>217</v>
      </c>
      <c r="Q163" s="109"/>
      <c r="R163" s="109">
        <f t="shared" si="15"/>
        <v>2.5000000000000022E-2</v>
      </c>
      <c r="S163" s="109"/>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row>
    <row r="164" spans="1:45" x14ac:dyDescent="0.2">
      <c r="A164" s="46" t="s">
        <v>66</v>
      </c>
      <c r="B164" s="47">
        <v>2</v>
      </c>
      <c r="C164" s="47">
        <v>30</v>
      </c>
      <c r="D164" s="47" t="s">
        <v>40</v>
      </c>
      <c r="E164" s="52">
        <v>6</v>
      </c>
      <c r="F164" s="52">
        <v>3</v>
      </c>
      <c r="G164" s="52">
        <v>77.31</v>
      </c>
      <c r="H164" s="52">
        <v>9.8699999999999992</v>
      </c>
      <c r="I164" s="49">
        <v>7.9</v>
      </c>
      <c r="J164" s="47">
        <v>1</v>
      </c>
      <c r="K164" s="50">
        <f t="shared" si="12"/>
        <v>1467470.4990599998</v>
      </c>
      <c r="L164" s="50" t="s">
        <v>97</v>
      </c>
      <c r="M164" s="91">
        <f t="shared" si="13"/>
        <v>1438121.0890787998</v>
      </c>
      <c r="N164" s="50">
        <f t="shared" si="14"/>
        <v>1150496.8712630398</v>
      </c>
      <c r="O164" s="110"/>
      <c r="P164" s="53">
        <v>67</v>
      </c>
      <c r="Q164" s="109"/>
      <c r="R164" s="109">
        <f t="shared" si="15"/>
        <v>2.0000000000000018E-2</v>
      </c>
      <c r="S164" s="109"/>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row>
    <row r="165" spans="1:45" x14ac:dyDescent="0.2">
      <c r="A165" s="46" t="s">
        <v>66</v>
      </c>
      <c r="B165" s="47">
        <v>2</v>
      </c>
      <c r="C165" s="47">
        <v>31</v>
      </c>
      <c r="D165" s="47" t="s">
        <v>41</v>
      </c>
      <c r="E165" s="52">
        <v>6</v>
      </c>
      <c r="F165" s="52">
        <v>4</v>
      </c>
      <c r="G165" s="52">
        <v>100.75</v>
      </c>
      <c r="H165" s="52">
        <v>11.97</v>
      </c>
      <c r="I165" s="49">
        <v>7.18</v>
      </c>
      <c r="J165" s="47">
        <v>1</v>
      </c>
      <c r="K165" s="50">
        <f t="shared" si="12"/>
        <v>1875980.0963799998</v>
      </c>
      <c r="L165" s="50" t="s">
        <v>97</v>
      </c>
      <c r="M165" s="91">
        <f t="shared" si="13"/>
        <v>1838460.4944523997</v>
      </c>
      <c r="N165" s="50">
        <f t="shared" si="14"/>
        <v>1538460.4944523997</v>
      </c>
      <c r="O165" s="110"/>
      <c r="P165" s="53">
        <v>175</v>
      </c>
      <c r="Q165" s="109"/>
      <c r="R165" s="109">
        <f t="shared" si="15"/>
        <v>2.0000000000000018E-2</v>
      </c>
      <c r="S165" s="109"/>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row>
    <row r="166" spans="1:45" x14ac:dyDescent="0.2">
      <c r="A166" s="46" t="s">
        <v>66</v>
      </c>
      <c r="B166" s="47">
        <v>2</v>
      </c>
      <c r="C166" s="47">
        <v>32</v>
      </c>
      <c r="D166" s="47" t="s">
        <v>45</v>
      </c>
      <c r="E166" s="52">
        <v>6</v>
      </c>
      <c r="F166" s="52">
        <v>4</v>
      </c>
      <c r="G166" s="52">
        <v>103.15</v>
      </c>
      <c r="H166" s="52">
        <v>13.16</v>
      </c>
      <c r="I166" s="63">
        <v>8.44</v>
      </c>
      <c r="J166" s="47">
        <v>1</v>
      </c>
      <c r="K166" s="50">
        <f t="shared" si="12"/>
        <v>1931995.1412399998</v>
      </c>
      <c r="L166" s="50" t="s">
        <v>97</v>
      </c>
      <c r="M166" s="91">
        <f t="shared" si="13"/>
        <v>1893355.2384151998</v>
      </c>
      <c r="N166" s="50">
        <f t="shared" si="14"/>
        <v>1593355.2384151998</v>
      </c>
      <c r="O166" s="110"/>
      <c r="P166" s="53">
        <v>191</v>
      </c>
      <c r="Q166" s="109"/>
      <c r="R166" s="109">
        <f t="shared" si="15"/>
        <v>2.0000000000000018E-2</v>
      </c>
      <c r="S166" s="109"/>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row>
    <row r="167" spans="1:45" x14ac:dyDescent="0.2">
      <c r="A167" s="46" t="s">
        <v>66</v>
      </c>
      <c r="B167" s="47">
        <v>2</v>
      </c>
      <c r="C167" s="47">
        <v>33</v>
      </c>
      <c r="D167" s="47" t="s">
        <v>69</v>
      </c>
      <c r="E167" s="52">
        <v>6</v>
      </c>
      <c r="F167" s="52">
        <v>3</v>
      </c>
      <c r="G167" s="52">
        <v>82.26</v>
      </c>
      <c r="H167" s="52">
        <v>13.55</v>
      </c>
      <c r="I167" s="49">
        <v>5.31</v>
      </c>
      <c r="J167" s="47">
        <v>1</v>
      </c>
      <c r="K167" s="50">
        <f t="shared" ref="K167:K198" si="16">((IF(G167&gt;VLOOKUP(F167,$AO$15:$AP$24,2,FALSE),((G167-VLOOKUP(F167,$AO$15:$AP$24,2,FALSE))*85%+VLOOKUP(F167,$AO$15:$AP$24,2,FALSE)),G167))+IF(H167&gt;30,30*$AL$18+IF(H167&gt;60,30*$AL$19+IF(H167&gt;120,60*$AL$20,(H167-60)*$AL$20),(H167-30)*$AL$19),H167*$AL$18)+$AL$23*I167+J167*$AL$24)*$O$4</f>
        <v>1553665.9897399999</v>
      </c>
      <c r="L167" s="50" t="s">
        <v>97</v>
      </c>
      <c r="M167" s="91">
        <f t="shared" si="13"/>
        <v>1522592.6699451997</v>
      </c>
      <c r="N167" s="50">
        <f t="shared" si="14"/>
        <v>1222592.6699451997</v>
      </c>
      <c r="O167" s="110"/>
      <c r="P167" s="53">
        <v>224</v>
      </c>
      <c r="Q167" s="109"/>
      <c r="R167" s="109">
        <f t="shared" si="15"/>
        <v>2.0000000000000129E-2</v>
      </c>
      <c r="S167" s="109"/>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row>
    <row r="168" spans="1:45" x14ac:dyDescent="0.2">
      <c r="A168" s="46" t="s">
        <v>66</v>
      </c>
      <c r="B168" s="47">
        <v>2</v>
      </c>
      <c r="C168" s="47">
        <v>34</v>
      </c>
      <c r="D168" s="47" t="s">
        <v>70</v>
      </c>
      <c r="E168" s="52">
        <v>6</v>
      </c>
      <c r="F168" s="52">
        <v>5</v>
      </c>
      <c r="G168" s="52">
        <v>118.49</v>
      </c>
      <c r="H168" s="52">
        <v>13.87</v>
      </c>
      <c r="I168" s="49">
        <v>6.13</v>
      </c>
      <c r="J168" s="47">
        <v>1</v>
      </c>
      <c r="K168" s="50">
        <f t="shared" si="16"/>
        <v>2183281.2777799997</v>
      </c>
      <c r="L168" s="50" t="s">
        <v>97</v>
      </c>
      <c r="M168" s="91">
        <f t="shared" si="13"/>
        <v>2139615.6522243996</v>
      </c>
      <c r="N168" s="50">
        <f t="shared" si="14"/>
        <v>1839615.6522243996</v>
      </c>
      <c r="O168" s="110"/>
      <c r="P168" s="53">
        <v>87</v>
      </c>
      <c r="Q168" s="109"/>
      <c r="R168" s="109">
        <f t="shared" si="15"/>
        <v>2.0000000000000018E-2</v>
      </c>
      <c r="S168" s="109"/>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row>
    <row r="169" spans="1:45" x14ac:dyDescent="0.2">
      <c r="A169" s="46" t="s">
        <v>66</v>
      </c>
      <c r="B169" s="47">
        <v>2</v>
      </c>
      <c r="C169" s="47">
        <v>35</v>
      </c>
      <c r="D169" s="47" t="s">
        <v>72</v>
      </c>
      <c r="E169" s="52">
        <v>6</v>
      </c>
      <c r="F169" s="52">
        <v>4</v>
      </c>
      <c r="G169" s="52">
        <v>99.43</v>
      </c>
      <c r="H169" s="52">
        <v>12.38</v>
      </c>
      <c r="I169" s="63">
        <v>6.92</v>
      </c>
      <c r="J169" s="47">
        <v>1</v>
      </c>
      <c r="K169" s="50">
        <f t="shared" si="16"/>
        <v>1853632.4811199999</v>
      </c>
      <c r="L169" s="50" t="s">
        <v>97</v>
      </c>
      <c r="M169" s="91">
        <f t="shared" si="13"/>
        <v>1816559.8314975998</v>
      </c>
      <c r="N169" s="50">
        <f t="shared" si="14"/>
        <v>1516559.8314975998</v>
      </c>
      <c r="O169" s="110"/>
      <c r="P169" s="53">
        <v>118</v>
      </c>
      <c r="Q169" s="109"/>
      <c r="R169" s="109">
        <f t="shared" si="15"/>
        <v>2.0000000000000018E-2</v>
      </c>
      <c r="S169" s="109"/>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row>
    <row r="170" spans="1:45" x14ac:dyDescent="0.2">
      <c r="A170" s="46" t="s">
        <v>66</v>
      </c>
      <c r="B170" s="47">
        <v>2</v>
      </c>
      <c r="C170" s="47">
        <v>36</v>
      </c>
      <c r="D170" s="47" t="s">
        <v>40</v>
      </c>
      <c r="E170" s="52">
        <v>7</v>
      </c>
      <c r="F170" s="52">
        <v>3</v>
      </c>
      <c r="G170" s="52">
        <v>77.31</v>
      </c>
      <c r="H170" s="52">
        <v>9.8699999999999992</v>
      </c>
      <c r="I170" s="49">
        <v>9.0399999999999991</v>
      </c>
      <c r="J170" s="47">
        <v>1</v>
      </c>
      <c r="K170" s="50">
        <f t="shared" si="16"/>
        <v>1475303.32962</v>
      </c>
      <c r="L170" s="50" t="s">
        <v>97</v>
      </c>
      <c r="M170" s="91">
        <f t="shared" si="13"/>
        <v>1453173.7796757</v>
      </c>
      <c r="N170" s="50">
        <f t="shared" si="14"/>
        <v>1162539.02374056</v>
      </c>
      <c r="O170" s="110"/>
      <c r="P170" s="53">
        <v>92</v>
      </c>
      <c r="Q170" s="109"/>
      <c r="R170" s="109">
        <f t="shared" si="15"/>
        <v>1.5000000000000013E-2</v>
      </c>
      <c r="S170" s="109"/>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row>
    <row r="171" spans="1:45" x14ac:dyDescent="0.2">
      <c r="A171" s="46" t="s">
        <v>66</v>
      </c>
      <c r="B171" s="47">
        <v>2</v>
      </c>
      <c r="C171" s="47">
        <v>37</v>
      </c>
      <c r="D171" s="47" t="s">
        <v>41</v>
      </c>
      <c r="E171" s="52">
        <v>7</v>
      </c>
      <c r="F171" s="52">
        <v>4</v>
      </c>
      <c r="G171" s="52">
        <v>100.75</v>
      </c>
      <c r="H171" s="52">
        <v>11.97</v>
      </c>
      <c r="I171" s="49">
        <v>7.32</v>
      </c>
      <c r="J171" s="47">
        <v>1</v>
      </c>
      <c r="K171" s="50">
        <f t="shared" si="16"/>
        <v>1876942.0229399996</v>
      </c>
      <c r="L171" s="51" t="s">
        <v>97</v>
      </c>
      <c r="M171" s="91">
        <f t="shared" si="13"/>
        <v>1848787.8925958995</v>
      </c>
      <c r="N171" s="51">
        <f t="shared" si="14"/>
        <v>1548787.8925958995</v>
      </c>
      <c r="O171" s="110"/>
      <c r="P171" s="53">
        <v>177</v>
      </c>
      <c r="Q171" s="109"/>
      <c r="R171" s="109">
        <f t="shared" si="15"/>
        <v>1.5000000000000013E-2</v>
      </c>
      <c r="S171" s="109"/>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row>
    <row r="172" spans="1:45" x14ac:dyDescent="0.2">
      <c r="A172" s="46" t="s">
        <v>66</v>
      </c>
      <c r="B172" s="47">
        <v>2</v>
      </c>
      <c r="C172" s="47">
        <v>38</v>
      </c>
      <c r="D172" s="47" t="s">
        <v>45</v>
      </c>
      <c r="E172" s="52">
        <v>7</v>
      </c>
      <c r="F172" s="52">
        <v>4</v>
      </c>
      <c r="G172" s="52">
        <v>103.15</v>
      </c>
      <c r="H172" s="52">
        <v>13.16</v>
      </c>
      <c r="I172" s="49">
        <v>10.26</v>
      </c>
      <c r="J172" s="47">
        <v>1</v>
      </c>
      <c r="K172" s="50">
        <f t="shared" si="16"/>
        <v>1944500.1865199998</v>
      </c>
      <c r="L172" s="51" t="s">
        <v>97</v>
      </c>
      <c r="M172" s="91">
        <f t="shared" si="13"/>
        <v>1915332.6837221996</v>
      </c>
      <c r="N172" s="51">
        <f t="shared" si="14"/>
        <v>1615332.6837221996</v>
      </c>
      <c r="O172" s="110"/>
      <c r="P172" s="53">
        <v>181</v>
      </c>
      <c r="Q172" s="109"/>
      <c r="R172" s="109">
        <f t="shared" si="15"/>
        <v>1.5000000000000013E-2</v>
      </c>
      <c r="S172" s="109"/>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row>
    <row r="173" spans="1:45" x14ac:dyDescent="0.2">
      <c r="A173" s="46" t="s">
        <v>66</v>
      </c>
      <c r="B173" s="47">
        <v>2</v>
      </c>
      <c r="C173" s="47">
        <v>39</v>
      </c>
      <c r="D173" s="47" t="s">
        <v>69</v>
      </c>
      <c r="E173" s="52">
        <v>7</v>
      </c>
      <c r="F173" s="52">
        <v>3</v>
      </c>
      <c r="G173" s="52">
        <v>82.26</v>
      </c>
      <c r="H173" s="52">
        <v>13.55</v>
      </c>
      <c r="I173" s="63">
        <v>5.32</v>
      </c>
      <c r="J173" s="47">
        <v>1</v>
      </c>
      <c r="K173" s="50">
        <f t="shared" si="16"/>
        <v>1553734.69878</v>
      </c>
      <c r="L173" s="51" t="s">
        <v>97</v>
      </c>
      <c r="M173" s="91">
        <f t="shared" si="13"/>
        <v>1530428.6782982999</v>
      </c>
      <c r="N173" s="51">
        <f t="shared" si="14"/>
        <v>1230428.6782982999</v>
      </c>
      <c r="O173" s="110"/>
      <c r="P173" s="53">
        <v>222</v>
      </c>
      <c r="Q173" s="109"/>
      <c r="R173" s="109">
        <f t="shared" si="15"/>
        <v>1.5000000000000013E-2</v>
      </c>
      <c r="S173" s="109"/>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row>
    <row r="174" spans="1:45" x14ac:dyDescent="0.2">
      <c r="A174" s="46" t="s">
        <v>66</v>
      </c>
      <c r="B174" s="47">
        <v>2</v>
      </c>
      <c r="C174" s="47">
        <v>40</v>
      </c>
      <c r="D174" s="47" t="s">
        <v>70</v>
      </c>
      <c r="E174" s="52">
        <v>7</v>
      </c>
      <c r="F174" s="52">
        <v>5</v>
      </c>
      <c r="G174" s="52">
        <v>118.49</v>
      </c>
      <c r="H174" s="52">
        <v>13.87</v>
      </c>
      <c r="I174" s="63">
        <v>6.19</v>
      </c>
      <c r="J174" s="47">
        <v>1</v>
      </c>
      <c r="K174" s="50">
        <f t="shared" si="16"/>
        <v>2183693.5320199998</v>
      </c>
      <c r="L174" s="51" t="s">
        <v>97</v>
      </c>
      <c r="M174" s="91">
        <f t="shared" si="13"/>
        <v>2150938.1290396997</v>
      </c>
      <c r="N174" s="51">
        <f t="shared" si="14"/>
        <v>1850938.1290396997</v>
      </c>
      <c r="O174" s="110"/>
      <c r="P174" s="53">
        <v>68</v>
      </c>
      <c r="Q174" s="109"/>
      <c r="R174" s="109">
        <f t="shared" si="15"/>
        <v>1.5000000000000013E-2</v>
      </c>
      <c r="S174" s="109"/>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row>
    <row r="175" spans="1:45" x14ac:dyDescent="0.2">
      <c r="A175" s="46" t="s">
        <v>66</v>
      </c>
      <c r="B175" s="47">
        <v>2</v>
      </c>
      <c r="C175" s="47">
        <v>41</v>
      </c>
      <c r="D175" s="47" t="s">
        <v>72</v>
      </c>
      <c r="E175" s="52">
        <v>7</v>
      </c>
      <c r="F175" s="52">
        <v>4</v>
      </c>
      <c r="G175" s="52">
        <v>99.43</v>
      </c>
      <c r="H175" s="52">
        <v>12.38</v>
      </c>
      <c r="I175" s="63">
        <v>7.03</v>
      </c>
      <c r="J175" s="47">
        <v>1</v>
      </c>
      <c r="K175" s="50">
        <f t="shared" si="16"/>
        <v>1854388.2805599999</v>
      </c>
      <c r="L175" s="51" t="s">
        <v>97</v>
      </c>
      <c r="M175" s="91">
        <f t="shared" si="13"/>
        <v>1826572.4563515999</v>
      </c>
      <c r="N175" s="51">
        <f t="shared" si="14"/>
        <v>1526572.4563515999</v>
      </c>
      <c r="O175" s="110"/>
      <c r="P175" s="53">
        <v>195</v>
      </c>
      <c r="Q175" s="109"/>
      <c r="R175" s="109">
        <f t="shared" si="15"/>
        <v>1.5000000000000013E-2</v>
      </c>
      <c r="S175" s="109"/>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row>
    <row r="176" spans="1:45" x14ac:dyDescent="0.2">
      <c r="A176" s="46" t="s">
        <v>66</v>
      </c>
      <c r="B176" s="47">
        <v>2</v>
      </c>
      <c r="C176" s="47">
        <v>42</v>
      </c>
      <c r="D176" s="47" t="s">
        <v>40</v>
      </c>
      <c r="E176" s="52">
        <v>8</v>
      </c>
      <c r="F176" s="52">
        <v>3</v>
      </c>
      <c r="G176" s="52">
        <v>77.31</v>
      </c>
      <c r="H176" s="52">
        <v>9.8699999999999992</v>
      </c>
      <c r="I176" s="63">
        <v>4.6100000000000003</v>
      </c>
      <c r="J176" s="47">
        <v>1</v>
      </c>
      <c r="K176" s="50">
        <f t="shared" si="16"/>
        <v>1444865.2248999998</v>
      </c>
      <c r="L176" s="51" t="s">
        <v>97</v>
      </c>
      <c r="M176" s="91">
        <f t="shared" si="13"/>
        <v>1430416.5726509998</v>
      </c>
      <c r="N176" s="51">
        <f t="shared" si="14"/>
        <v>1144333.2581207999</v>
      </c>
      <c r="O176" s="110"/>
      <c r="P176" s="53">
        <v>85</v>
      </c>
      <c r="Q176" s="109"/>
      <c r="R176" s="109">
        <f t="shared" si="15"/>
        <v>1.0000000000000009E-2</v>
      </c>
      <c r="S176" s="109"/>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row>
    <row r="177" spans="1:45" x14ac:dyDescent="0.2">
      <c r="A177" s="46" t="s">
        <v>66</v>
      </c>
      <c r="B177" s="47">
        <v>2</v>
      </c>
      <c r="C177" s="47">
        <v>43</v>
      </c>
      <c r="D177" s="47" t="s">
        <v>41</v>
      </c>
      <c r="E177" s="52">
        <v>8</v>
      </c>
      <c r="F177" s="52">
        <v>4</v>
      </c>
      <c r="G177" s="52">
        <v>100.75</v>
      </c>
      <c r="H177" s="52">
        <v>11.97</v>
      </c>
      <c r="I177" s="63">
        <v>7.41</v>
      </c>
      <c r="J177" s="47">
        <v>1</v>
      </c>
      <c r="K177" s="50">
        <f t="shared" si="16"/>
        <v>1877560.4042999996</v>
      </c>
      <c r="L177" s="51" t="s">
        <v>97</v>
      </c>
      <c r="M177" s="91">
        <f t="shared" si="13"/>
        <v>1858784.8002569997</v>
      </c>
      <c r="N177" s="51">
        <f t="shared" si="14"/>
        <v>1558784.8002569997</v>
      </c>
      <c r="O177" s="110"/>
      <c r="P177" s="53">
        <v>201</v>
      </c>
      <c r="Q177" s="109"/>
      <c r="R177" s="109">
        <f t="shared" si="15"/>
        <v>1.0000000000000009E-2</v>
      </c>
      <c r="S177" s="109"/>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row>
    <row r="178" spans="1:45" x14ac:dyDescent="0.2">
      <c r="A178" s="46" t="s">
        <v>66</v>
      </c>
      <c r="B178" s="47">
        <v>2</v>
      </c>
      <c r="C178" s="47">
        <v>44</v>
      </c>
      <c r="D178" s="47" t="s">
        <v>45</v>
      </c>
      <c r="E178" s="52">
        <v>8</v>
      </c>
      <c r="F178" s="52">
        <v>4</v>
      </c>
      <c r="G178" s="52">
        <v>103.15</v>
      </c>
      <c r="H178" s="52">
        <v>13.16</v>
      </c>
      <c r="I178" s="63">
        <v>4.9800000000000004</v>
      </c>
      <c r="J178" s="47">
        <v>1</v>
      </c>
      <c r="K178" s="50">
        <f t="shared" si="16"/>
        <v>1908221.8133999999</v>
      </c>
      <c r="L178" s="51" t="s">
        <v>97</v>
      </c>
      <c r="M178" s="91">
        <f t="shared" si="13"/>
        <v>1889139.5952659999</v>
      </c>
      <c r="N178" s="51">
        <f t="shared" si="14"/>
        <v>1589139.5952659999</v>
      </c>
      <c r="O178" s="110"/>
      <c r="P178" s="53">
        <v>26</v>
      </c>
      <c r="Q178" s="109"/>
      <c r="R178" s="109">
        <f t="shared" si="15"/>
        <v>1.0000000000000009E-2</v>
      </c>
      <c r="S178" s="109"/>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row>
    <row r="179" spans="1:45" x14ac:dyDescent="0.2">
      <c r="A179" s="46" t="s">
        <v>66</v>
      </c>
      <c r="B179" s="47">
        <v>2</v>
      </c>
      <c r="C179" s="47">
        <v>45</v>
      </c>
      <c r="D179" s="47" t="s">
        <v>69</v>
      </c>
      <c r="E179" s="52">
        <v>8</v>
      </c>
      <c r="F179" s="52">
        <v>3</v>
      </c>
      <c r="G179" s="52">
        <v>82.26</v>
      </c>
      <c r="H179" s="52">
        <v>13.55</v>
      </c>
      <c r="I179" s="63">
        <v>5.34</v>
      </c>
      <c r="J179" s="47">
        <v>1</v>
      </c>
      <c r="K179" s="50">
        <f t="shared" si="16"/>
        <v>1553872.1168599997</v>
      </c>
      <c r="L179" s="51" t="s">
        <v>97</v>
      </c>
      <c r="M179" s="91">
        <f t="shared" si="13"/>
        <v>1538333.3956913997</v>
      </c>
      <c r="N179" s="51">
        <f t="shared" si="14"/>
        <v>1238333.3956913997</v>
      </c>
      <c r="O179" s="110"/>
      <c r="P179" s="53">
        <v>153</v>
      </c>
      <c r="Q179" s="109"/>
      <c r="R179" s="109">
        <f t="shared" si="15"/>
        <v>1.0000000000000009E-2</v>
      </c>
      <c r="S179" s="109"/>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row>
    <row r="180" spans="1:45" x14ac:dyDescent="0.2">
      <c r="A180" s="46" t="s">
        <v>66</v>
      </c>
      <c r="B180" s="47">
        <v>2</v>
      </c>
      <c r="C180" s="47">
        <v>46</v>
      </c>
      <c r="D180" s="47" t="s">
        <v>70</v>
      </c>
      <c r="E180" s="52">
        <v>8</v>
      </c>
      <c r="F180" s="52">
        <v>5</v>
      </c>
      <c r="G180" s="52">
        <v>118.49</v>
      </c>
      <c r="H180" s="52">
        <v>13.87</v>
      </c>
      <c r="I180" s="63">
        <v>6.21</v>
      </c>
      <c r="J180" s="47">
        <v>1</v>
      </c>
      <c r="K180" s="50">
        <f t="shared" si="16"/>
        <v>2183830.9500999996</v>
      </c>
      <c r="L180" s="51" t="s">
        <v>97</v>
      </c>
      <c r="M180" s="91">
        <f t="shared" si="13"/>
        <v>2161992.6405989993</v>
      </c>
      <c r="N180" s="51">
        <f t="shared" si="14"/>
        <v>1861992.6405989993</v>
      </c>
      <c r="O180" s="110"/>
      <c r="P180" s="53">
        <v>49</v>
      </c>
      <c r="Q180" s="109"/>
      <c r="R180" s="109">
        <f t="shared" si="15"/>
        <v>1.000000000000012E-2</v>
      </c>
      <c r="S180" s="109"/>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row>
    <row r="181" spans="1:45" x14ac:dyDescent="0.2">
      <c r="A181" s="46" t="s">
        <v>66</v>
      </c>
      <c r="B181" s="47">
        <v>2</v>
      </c>
      <c r="C181" s="47">
        <v>47</v>
      </c>
      <c r="D181" s="47" t="s">
        <v>72</v>
      </c>
      <c r="E181" s="52">
        <v>8</v>
      </c>
      <c r="F181" s="52">
        <v>4</v>
      </c>
      <c r="G181" s="52">
        <v>99.43</v>
      </c>
      <c r="H181" s="52">
        <v>12.38</v>
      </c>
      <c r="I181" s="63">
        <v>7.15</v>
      </c>
      <c r="J181" s="47">
        <v>1</v>
      </c>
      <c r="K181" s="50">
        <f t="shared" si="16"/>
        <v>1855212.7890399999</v>
      </c>
      <c r="L181" s="51" t="s">
        <v>97</v>
      </c>
      <c r="M181" s="91">
        <f t="shared" si="13"/>
        <v>1836660.6611495998</v>
      </c>
      <c r="N181" s="51">
        <f t="shared" si="14"/>
        <v>1536660.6611495998</v>
      </c>
      <c r="O181" s="110"/>
      <c r="P181" s="53">
        <v>197</v>
      </c>
      <c r="Q181" s="109"/>
      <c r="R181" s="109">
        <f t="shared" si="15"/>
        <v>1.000000000000012E-2</v>
      </c>
      <c r="S181" s="109"/>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row>
    <row r="182" spans="1:45" x14ac:dyDescent="0.2">
      <c r="A182" s="46" t="s">
        <v>66</v>
      </c>
      <c r="B182" s="47">
        <v>2</v>
      </c>
      <c r="C182" s="47">
        <v>48</v>
      </c>
      <c r="D182" s="47" t="s">
        <v>40</v>
      </c>
      <c r="E182" s="52">
        <v>9</v>
      </c>
      <c r="F182" s="52">
        <v>3</v>
      </c>
      <c r="G182" s="52">
        <v>77.31</v>
      </c>
      <c r="H182" s="52">
        <v>9.8699999999999992</v>
      </c>
      <c r="I182" s="63">
        <v>4.6100000000000003</v>
      </c>
      <c r="J182" s="47">
        <v>1</v>
      </c>
      <c r="K182" s="50">
        <f t="shared" si="16"/>
        <v>1444865.2248999998</v>
      </c>
      <c r="L182" s="51" t="s">
        <v>97</v>
      </c>
      <c r="M182" s="91">
        <f t="shared" si="13"/>
        <v>1437640.8987754998</v>
      </c>
      <c r="N182" s="51">
        <f t="shared" si="14"/>
        <v>1150112.7190203997</v>
      </c>
      <c r="O182" s="110"/>
      <c r="P182" s="53">
        <v>150</v>
      </c>
      <c r="Q182" s="109"/>
      <c r="R182" s="109">
        <f t="shared" si="15"/>
        <v>5.0000000000000044E-3</v>
      </c>
      <c r="S182" s="109"/>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row>
    <row r="183" spans="1:45" x14ac:dyDescent="0.2">
      <c r="A183" s="46" t="s">
        <v>66</v>
      </c>
      <c r="B183" s="47">
        <v>2</v>
      </c>
      <c r="C183" s="47">
        <v>49</v>
      </c>
      <c r="D183" s="47" t="s">
        <v>41</v>
      </c>
      <c r="E183" s="52">
        <v>9</v>
      </c>
      <c r="F183" s="52">
        <v>4</v>
      </c>
      <c r="G183" s="52">
        <v>100.75</v>
      </c>
      <c r="H183" s="52">
        <v>11.97</v>
      </c>
      <c r="I183" s="63">
        <v>7.54</v>
      </c>
      <c r="J183" s="47">
        <v>1</v>
      </c>
      <c r="K183" s="50">
        <f t="shared" si="16"/>
        <v>1878453.6218199998</v>
      </c>
      <c r="L183" s="51" t="s">
        <v>97</v>
      </c>
      <c r="M183" s="91">
        <f t="shared" si="13"/>
        <v>1869061.3537108998</v>
      </c>
      <c r="N183" s="51">
        <f t="shared" si="14"/>
        <v>1569061.3537108998</v>
      </c>
      <c r="O183" s="110"/>
      <c r="P183" s="53">
        <v>196</v>
      </c>
      <c r="Q183" s="109"/>
      <c r="R183" s="109">
        <f t="shared" si="15"/>
        <v>5.0000000000000044E-3</v>
      </c>
      <c r="S183" s="109"/>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row>
    <row r="184" spans="1:45" x14ac:dyDescent="0.2">
      <c r="A184" s="46" t="s">
        <v>66</v>
      </c>
      <c r="B184" s="47">
        <v>2</v>
      </c>
      <c r="C184" s="47">
        <v>50</v>
      </c>
      <c r="D184" s="47" t="s">
        <v>45</v>
      </c>
      <c r="E184" s="52">
        <v>9</v>
      </c>
      <c r="F184" s="52">
        <v>4</v>
      </c>
      <c r="G184" s="52">
        <v>103.15</v>
      </c>
      <c r="H184" s="52">
        <v>13.16</v>
      </c>
      <c r="I184" s="63">
        <v>5.13</v>
      </c>
      <c r="J184" s="47">
        <v>1</v>
      </c>
      <c r="K184" s="50">
        <f t="shared" si="16"/>
        <v>1909252.449</v>
      </c>
      <c r="L184" s="51" t="s">
        <v>97</v>
      </c>
      <c r="M184" s="91">
        <f t="shared" si="13"/>
        <v>1899706.1867549999</v>
      </c>
      <c r="N184" s="51">
        <f t="shared" si="14"/>
        <v>1599706.1867549999</v>
      </c>
      <c r="O184" s="110"/>
      <c r="P184" s="53">
        <v>59</v>
      </c>
      <c r="Q184" s="109"/>
      <c r="R184" s="109">
        <f t="shared" si="15"/>
        <v>5.0000000000000044E-3</v>
      </c>
      <c r="S184" s="109"/>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row>
    <row r="185" spans="1:45" x14ac:dyDescent="0.2">
      <c r="A185" s="46" t="s">
        <v>66</v>
      </c>
      <c r="B185" s="47">
        <v>2</v>
      </c>
      <c r="C185" s="47">
        <v>51</v>
      </c>
      <c r="D185" s="47" t="s">
        <v>69</v>
      </c>
      <c r="E185" s="52">
        <v>9</v>
      </c>
      <c r="F185" s="52">
        <v>3</v>
      </c>
      <c r="G185" s="52">
        <v>82.26</v>
      </c>
      <c r="H185" s="52">
        <v>13.55</v>
      </c>
      <c r="I185" s="63">
        <v>5.46</v>
      </c>
      <c r="J185" s="47">
        <v>1</v>
      </c>
      <c r="K185" s="50">
        <f t="shared" si="16"/>
        <v>1554696.6253399998</v>
      </c>
      <c r="L185" s="51" t="s">
        <v>97</v>
      </c>
      <c r="M185" s="91">
        <f t="shared" si="13"/>
        <v>1546923.1422132999</v>
      </c>
      <c r="N185" s="51">
        <f t="shared" si="14"/>
        <v>1246923.1422132999</v>
      </c>
      <c r="O185" s="110"/>
      <c r="P185" s="53">
        <v>221</v>
      </c>
      <c r="Q185" s="109"/>
      <c r="R185" s="109">
        <f t="shared" si="15"/>
        <v>5.0000000000000044E-3</v>
      </c>
      <c r="S185" s="109"/>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row>
    <row r="186" spans="1:45" x14ac:dyDescent="0.2">
      <c r="A186" s="46" t="s">
        <v>66</v>
      </c>
      <c r="B186" s="47">
        <v>2</v>
      </c>
      <c r="C186" s="47">
        <v>52</v>
      </c>
      <c r="D186" s="47" t="s">
        <v>70</v>
      </c>
      <c r="E186" s="52">
        <v>9</v>
      </c>
      <c r="F186" s="52">
        <v>5</v>
      </c>
      <c r="G186" s="52">
        <v>118.49</v>
      </c>
      <c r="H186" s="52">
        <v>13.87</v>
      </c>
      <c r="I186" s="111">
        <v>6.49</v>
      </c>
      <c r="J186" s="47">
        <v>1</v>
      </c>
      <c r="K186" s="50">
        <f t="shared" si="16"/>
        <v>2185754.8032199997</v>
      </c>
      <c r="L186" s="51" t="s">
        <v>97</v>
      </c>
      <c r="M186" s="91">
        <f t="shared" si="13"/>
        <v>2174826.0292038997</v>
      </c>
      <c r="N186" s="51">
        <f t="shared" si="14"/>
        <v>1874826.0292038997</v>
      </c>
      <c r="O186" s="110"/>
      <c r="P186" s="53">
        <v>50</v>
      </c>
      <c r="Q186" s="109"/>
      <c r="R186" s="109">
        <f t="shared" si="15"/>
        <v>5.0000000000000044E-3</v>
      </c>
      <c r="S186" s="109"/>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row>
    <row r="187" spans="1:45" x14ac:dyDescent="0.2">
      <c r="A187" s="46" t="s">
        <v>66</v>
      </c>
      <c r="B187" s="47">
        <v>2</v>
      </c>
      <c r="C187" s="47">
        <v>53</v>
      </c>
      <c r="D187" s="47" t="s">
        <v>72</v>
      </c>
      <c r="E187" s="52">
        <v>9</v>
      </c>
      <c r="F187" s="52">
        <v>4</v>
      </c>
      <c r="G187" s="52">
        <v>99.43</v>
      </c>
      <c r="H187" s="52">
        <v>12.38</v>
      </c>
      <c r="I187" s="63">
        <v>7.18</v>
      </c>
      <c r="J187" s="47">
        <v>1</v>
      </c>
      <c r="K187" s="50">
        <f t="shared" si="16"/>
        <v>1855418.91616</v>
      </c>
      <c r="L187" s="51" t="s">
        <v>97</v>
      </c>
      <c r="M187" s="91">
        <f t="shared" si="13"/>
        <v>1846141.8215792</v>
      </c>
      <c r="N187" s="51">
        <f t="shared" si="14"/>
        <v>1546141.8215792</v>
      </c>
      <c r="O187" s="110"/>
      <c r="P187" s="53">
        <v>176</v>
      </c>
      <c r="Q187" s="109"/>
      <c r="R187" s="109">
        <f t="shared" si="15"/>
        <v>5.0000000000000044E-3</v>
      </c>
      <c r="S187" s="109"/>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row>
    <row r="188" spans="1:45" ht="15" x14ac:dyDescent="0.25">
      <c r="A188" s="112" t="s">
        <v>66</v>
      </c>
      <c r="B188" s="113">
        <v>2</v>
      </c>
      <c r="C188" s="113">
        <v>54</v>
      </c>
      <c r="D188" s="113" t="s">
        <v>40</v>
      </c>
      <c r="E188" s="114">
        <v>10</v>
      </c>
      <c r="F188" s="114">
        <v>3</v>
      </c>
      <c r="G188" s="114">
        <v>77.31</v>
      </c>
      <c r="H188" s="114">
        <v>9.8699999999999992</v>
      </c>
      <c r="I188" s="115">
        <v>4.6500000000000004</v>
      </c>
      <c r="J188" s="113">
        <v>1</v>
      </c>
      <c r="K188" s="116">
        <f t="shared" si="16"/>
        <v>1445140.06106</v>
      </c>
      <c r="L188" s="117" t="s">
        <v>97</v>
      </c>
      <c r="M188" s="118">
        <f t="shared" si="13"/>
        <v>1445140.06106</v>
      </c>
      <c r="N188" s="117">
        <f t="shared" si="14"/>
        <v>1156112.0488479999</v>
      </c>
      <c r="O188" s="119"/>
      <c r="P188" s="120">
        <v>182</v>
      </c>
      <c r="Q188" s="109"/>
      <c r="R188" s="121">
        <f t="shared" si="15"/>
        <v>0</v>
      </c>
      <c r="S188" s="109"/>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row>
    <row r="189" spans="1:45" ht="15" x14ac:dyDescent="0.25">
      <c r="A189" s="112" t="s">
        <v>66</v>
      </c>
      <c r="B189" s="113">
        <v>2</v>
      </c>
      <c r="C189" s="113">
        <v>55</v>
      </c>
      <c r="D189" s="113" t="s">
        <v>41</v>
      </c>
      <c r="E189" s="114">
        <v>10</v>
      </c>
      <c r="F189" s="114">
        <v>4</v>
      </c>
      <c r="G189" s="114">
        <v>100.75</v>
      </c>
      <c r="H189" s="114">
        <v>11.97</v>
      </c>
      <c r="I189" s="115">
        <v>7.77</v>
      </c>
      <c r="J189" s="113">
        <v>1</v>
      </c>
      <c r="K189" s="116">
        <f t="shared" si="16"/>
        <v>1880033.9297399998</v>
      </c>
      <c r="L189" s="117" t="s">
        <v>97</v>
      </c>
      <c r="M189" s="118">
        <f t="shared" si="13"/>
        <v>1880033.9297399998</v>
      </c>
      <c r="N189" s="117">
        <f t="shared" si="14"/>
        <v>1580033.9297399998</v>
      </c>
      <c r="O189" s="119"/>
      <c r="P189" s="120">
        <v>179</v>
      </c>
      <c r="R189" s="121">
        <f t="shared" si="15"/>
        <v>0</v>
      </c>
      <c r="S189" s="109"/>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row>
    <row r="190" spans="1:45" ht="15" x14ac:dyDescent="0.25">
      <c r="A190" s="112" t="s">
        <v>66</v>
      </c>
      <c r="B190" s="113">
        <v>2</v>
      </c>
      <c r="C190" s="113">
        <v>56</v>
      </c>
      <c r="D190" s="113" t="s">
        <v>45</v>
      </c>
      <c r="E190" s="114">
        <v>10</v>
      </c>
      <c r="F190" s="114">
        <v>4</v>
      </c>
      <c r="G190" s="114">
        <v>103.15</v>
      </c>
      <c r="H190" s="114">
        <v>13.16</v>
      </c>
      <c r="I190" s="115">
        <v>5.14</v>
      </c>
      <c r="J190" s="113">
        <v>1</v>
      </c>
      <c r="K190" s="116">
        <f t="shared" si="16"/>
        <v>1909321.1580399997</v>
      </c>
      <c r="L190" s="117" t="s">
        <v>97</v>
      </c>
      <c r="M190" s="118">
        <f t="shared" si="13"/>
        <v>1909321.1580399997</v>
      </c>
      <c r="N190" s="117">
        <f t="shared" si="14"/>
        <v>1609321.1580399997</v>
      </c>
      <c r="O190" s="119"/>
      <c r="P190" s="120">
        <v>86</v>
      </c>
      <c r="R190" s="121">
        <f t="shared" si="15"/>
        <v>0</v>
      </c>
      <c r="S190" s="109"/>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row>
    <row r="191" spans="1:45" ht="15" x14ac:dyDescent="0.25">
      <c r="A191" s="112" t="s">
        <v>66</v>
      </c>
      <c r="B191" s="113">
        <v>2</v>
      </c>
      <c r="C191" s="113">
        <v>57</v>
      </c>
      <c r="D191" s="113" t="s">
        <v>69</v>
      </c>
      <c r="E191" s="114">
        <v>10</v>
      </c>
      <c r="F191" s="114">
        <v>3</v>
      </c>
      <c r="G191" s="114">
        <v>82.26</v>
      </c>
      <c r="H191" s="114">
        <v>13.55</v>
      </c>
      <c r="I191" s="115">
        <v>5.6</v>
      </c>
      <c r="J191" s="113">
        <v>1</v>
      </c>
      <c r="K191" s="116">
        <f t="shared" si="16"/>
        <v>1555658.5518999998</v>
      </c>
      <c r="L191" s="117" t="s">
        <v>97</v>
      </c>
      <c r="M191" s="118">
        <f t="shared" si="13"/>
        <v>1555658.5518999998</v>
      </c>
      <c r="N191" s="117">
        <f t="shared" si="14"/>
        <v>1255658.5518999998</v>
      </c>
      <c r="O191" s="119"/>
      <c r="P191" s="120">
        <v>198</v>
      </c>
      <c r="R191" s="121">
        <f t="shared" si="15"/>
        <v>0</v>
      </c>
      <c r="S191" s="109"/>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row>
    <row r="192" spans="1:45" ht="15" x14ac:dyDescent="0.25">
      <c r="A192" s="112" t="s">
        <v>66</v>
      </c>
      <c r="B192" s="113">
        <v>2</v>
      </c>
      <c r="C192" s="113">
        <v>58</v>
      </c>
      <c r="D192" s="113" t="s">
        <v>70</v>
      </c>
      <c r="E192" s="114">
        <v>10</v>
      </c>
      <c r="F192" s="114">
        <v>5</v>
      </c>
      <c r="G192" s="114">
        <v>118.49</v>
      </c>
      <c r="H192" s="114">
        <v>13.87</v>
      </c>
      <c r="I192" s="115">
        <v>6.58</v>
      </c>
      <c r="J192" s="113">
        <v>1</v>
      </c>
      <c r="K192" s="116">
        <f t="shared" si="16"/>
        <v>2186373.1845799997</v>
      </c>
      <c r="L192" s="117" t="s">
        <v>97</v>
      </c>
      <c r="M192" s="118">
        <f t="shared" si="13"/>
        <v>2186373.1845799997</v>
      </c>
      <c r="N192" s="117">
        <f t="shared" si="14"/>
        <v>1886373.1845799997</v>
      </c>
      <c r="O192" s="119"/>
      <c r="P192" s="120">
        <v>91</v>
      </c>
      <c r="R192" s="121">
        <f t="shared" si="15"/>
        <v>0</v>
      </c>
      <c r="S192" s="109"/>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row>
    <row r="193" spans="1:45" ht="15" x14ac:dyDescent="0.25">
      <c r="A193" s="112" t="s">
        <v>66</v>
      </c>
      <c r="B193" s="113">
        <v>2</v>
      </c>
      <c r="C193" s="113">
        <v>59</v>
      </c>
      <c r="D193" s="113" t="s">
        <v>72</v>
      </c>
      <c r="E193" s="114">
        <v>10</v>
      </c>
      <c r="F193" s="114">
        <v>4</v>
      </c>
      <c r="G193" s="114">
        <v>99.43</v>
      </c>
      <c r="H193" s="114">
        <v>12.38</v>
      </c>
      <c r="I193" s="115">
        <v>7.38</v>
      </c>
      <c r="J193" s="113">
        <v>1</v>
      </c>
      <c r="K193" s="116">
        <f t="shared" si="16"/>
        <v>1856793.09696</v>
      </c>
      <c r="L193" s="117" t="s">
        <v>97</v>
      </c>
      <c r="M193" s="118">
        <f t="shared" si="13"/>
        <v>1856793.09696</v>
      </c>
      <c r="N193" s="117">
        <f t="shared" si="14"/>
        <v>1556793.09696</v>
      </c>
      <c r="O193" s="119"/>
      <c r="P193" s="120">
        <v>200</v>
      </c>
      <c r="R193" s="121">
        <f t="shared" si="15"/>
        <v>0</v>
      </c>
      <c r="S193" s="109"/>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row>
    <row r="194" spans="1:45" ht="15" x14ac:dyDescent="0.25">
      <c r="A194" s="112" t="s">
        <v>66</v>
      </c>
      <c r="B194" s="113">
        <v>2</v>
      </c>
      <c r="C194" s="113">
        <v>60</v>
      </c>
      <c r="D194" s="113" t="s">
        <v>40</v>
      </c>
      <c r="E194" s="114">
        <v>11</v>
      </c>
      <c r="F194" s="114">
        <v>3</v>
      </c>
      <c r="G194" s="114">
        <v>77.31</v>
      </c>
      <c r="H194" s="114">
        <v>9.8699999999999992</v>
      </c>
      <c r="I194" s="115">
        <v>4.79</v>
      </c>
      <c r="J194" s="113">
        <v>1</v>
      </c>
      <c r="K194" s="116">
        <f t="shared" si="16"/>
        <v>1446101.9876199998</v>
      </c>
      <c r="L194" s="117" t="s">
        <v>97</v>
      </c>
      <c r="M194" s="118">
        <f>K194*(1+(E194-$E$194)*0.5%)</f>
        <v>1446101.9876199998</v>
      </c>
      <c r="N194" s="117">
        <f t="shared" si="14"/>
        <v>1156881.5900959999</v>
      </c>
      <c r="O194" s="119"/>
      <c r="P194" s="120">
        <v>219</v>
      </c>
      <c r="R194" s="121">
        <f t="shared" ref="R194:R199" si="17">K194/M194-1</f>
        <v>0</v>
      </c>
      <c r="S194" s="109"/>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row>
    <row r="195" spans="1:45" ht="15" x14ac:dyDescent="0.25">
      <c r="A195" s="112" t="s">
        <v>66</v>
      </c>
      <c r="B195" s="113">
        <v>2</v>
      </c>
      <c r="C195" s="113">
        <v>61</v>
      </c>
      <c r="D195" s="113" t="s">
        <v>41</v>
      </c>
      <c r="E195" s="114">
        <v>11</v>
      </c>
      <c r="F195" s="114">
        <v>4</v>
      </c>
      <c r="G195" s="114">
        <v>100.75</v>
      </c>
      <c r="H195" s="114">
        <v>11.97</v>
      </c>
      <c r="I195" s="115">
        <v>8.2799999999999994</v>
      </c>
      <c r="J195" s="113">
        <v>1</v>
      </c>
      <c r="K195" s="116">
        <f t="shared" si="16"/>
        <v>1883538.0907799997</v>
      </c>
      <c r="L195" s="117" t="s">
        <v>97</v>
      </c>
      <c r="M195" s="118">
        <f t="shared" ref="M195:M235" si="18">K195*(1+(E195-$E$194)*0.5%)</f>
        <v>1883538.0907799997</v>
      </c>
      <c r="N195" s="117">
        <f t="shared" si="14"/>
        <v>1583538.0907799997</v>
      </c>
      <c r="O195" s="119"/>
      <c r="P195" s="120">
        <v>173</v>
      </c>
      <c r="R195" s="121">
        <f t="shared" si="17"/>
        <v>0</v>
      </c>
      <c r="S195" s="109"/>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row>
    <row r="196" spans="1:45" ht="15" x14ac:dyDescent="0.25">
      <c r="A196" s="112" t="s">
        <v>66</v>
      </c>
      <c r="B196" s="113">
        <v>2</v>
      </c>
      <c r="C196" s="113">
        <v>62</v>
      </c>
      <c r="D196" s="113" t="s">
        <v>45</v>
      </c>
      <c r="E196" s="114">
        <v>11</v>
      </c>
      <c r="F196" s="114">
        <v>4</v>
      </c>
      <c r="G196" s="114">
        <v>103.15</v>
      </c>
      <c r="H196" s="114">
        <v>13.16</v>
      </c>
      <c r="I196" s="115">
        <v>5.32</v>
      </c>
      <c r="J196" s="113">
        <v>1</v>
      </c>
      <c r="K196" s="116">
        <f t="shared" si="16"/>
        <v>1910557.9207599999</v>
      </c>
      <c r="L196" s="117" t="s">
        <v>97</v>
      </c>
      <c r="M196" s="118">
        <f t="shared" si="18"/>
        <v>1910557.9207599999</v>
      </c>
      <c r="N196" s="117">
        <f t="shared" si="14"/>
        <v>1610557.9207599999</v>
      </c>
      <c r="O196" s="119"/>
      <c r="P196" s="120">
        <v>58</v>
      </c>
      <c r="R196" s="121">
        <f t="shared" si="17"/>
        <v>0</v>
      </c>
      <c r="S196" s="109"/>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row>
    <row r="197" spans="1:45" ht="15" x14ac:dyDescent="0.25">
      <c r="A197" s="112" t="s">
        <v>66</v>
      </c>
      <c r="B197" s="113">
        <v>2</v>
      </c>
      <c r="C197" s="113">
        <v>63</v>
      </c>
      <c r="D197" s="113" t="s">
        <v>69</v>
      </c>
      <c r="E197" s="114">
        <v>11</v>
      </c>
      <c r="F197" s="114">
        <v>3</v>
      </c>
      <c r="G197" s="114">
        <v>82.26</v>
      </c>
      <c r="H197" s="114">
        <v>13.55</v>
      </c>
      <c r="I197" s="115">
        <v>5.69</v>
      </c>
      <c r="J197" s="113">
        <v>1</v>
      </c>
      <c r="K197" s="116">
        <f t="shared" si="16"/>
        <v>1556276.9332599998</v>
      </c>
      <c r="L197" s="117" t="s">
        <v>97</v>
      </c>
      <c r="M197" s="118">
        <f t="shared" si="18"/>
        <v>1556276.9332599998</v>
      </c>
      <c r="N197" s="117">
        <f t="shared" si="14"/>
        <v>1256276.9332599998</v>
      </c>
      <c r="O197" s="119"/>
      <c r="P197" s="120">
        <v>214</v>
      </c>
      <c r="R197" s="121">
        <f t="shared" si="17"/>
        <v>0</v>
      </c>
      <c r="S197" s="109"/>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row>
    <row r="198" spans="1:45" ht="15" x14ac:dyDescent="0.25">
      <c r="A198" s="112" t="s">
        <v>66</v>
      </c>
      <c r="B198" s="113">
        <v>2</v>
      </c>
      <c r="C198" s="113">
        <v>64</v>
      </c>
      <c r="D198" s="113" t="s">
        <v>70</v>
      </c>
      <c r="E198" s="114">
        <v>11</v>
      </c>
      <c r="F198" s="114">
        <v>5</v>
      </c>
      <c r="G198" s="114">
        <v>118.49</v>
      </c>
      <c r="H198" s="114">
        <v>13.87</v>
      </c>
      <c r="I198" s="115">
        <v>7.29</v>
      </c>
      <c r="J198" s="113">
        <v>1</v>
      </c>
      <c r="K198" s="116">
        <f t="shared" si="16"/>
        <v>2191251.5264199995</v>
      </c>
      <c r="L198" s="117" t="s">
        <v>97</v>
      </c>
      <c r="M198" s="118">
        <f t="shared" si="18"/>
        <v>2191251.5264199995</v>
      </c>
      <c r="N198" s="117">
        <f t="shared" si="14"/>
        <v>1891251.5264199995</v>
      </c>
      <c r="O198" s="119"/>
      <c r="P198" s="120">
        <v>47</v>
      </c>
      <c r="R198" s="121">
        <f t="shared" si="17"/>
        <v>0</v>
      </c>
      <c r="S198" s="109"/>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row>
    <row r="199" spans="1:45" ht="15" x14ac:dyDescent="0.25">
      <c r="A199" s="112" t="s">
        <v>66</v>
      </c>
      <c r="B199" s="113">
        <v>2</v>
      </c>
      <c r="C199" s="113">
        <v>65</v>
      </c>
      <c r="D199" s="113" t="s">
        <v>72</v>
      </c>
      <c r="E199" s="114">
        <v>11</v>
      </c>
      <c r="F199" s="114">
        <v>4</v>
      </c>
      <c r="G199" s="114">
        <v>99.43</v>
      </c>
      <c r="H199" s="114">
        <v>12.38</v>
      </c>
      <c r="I199" s="115">
        <v>7.42</v>
      </c>
      <c r="J199" s="113">
        <v>1</v>
      </c>
      <c r="K199" s="116">
        <f t="shared" ref="K199:K221" si="19">((IF(G199&gt;VLOOKUP(F199,$AO$15:$AP$24,2,FALSE),((G199-VLOOKUP(F199,$AO$15:$AP$24,2,FALSE))*85%+VLOOKUP(F199,$AO$15:$AP$24,2,FALSE)),G199))+IF(H199&gt;30,30*$AL$18+IF(H199&gt;60,30*$AL$19+IF(H199&gt;120,60*$AL$20,(H199-60)*$AL$20),(H199-30)*$AL$19),H199*$AL$18)+$AL$23*I199+J199*$AL$24)*$O$4</f>
        <v>1857067.9331199999</v>
      </c>
      <c r="L199" s="117" t="s">
        <v>97</v>
      </c>
      <c r="M199" s="118">
        <f t="shared" si="18"/>
        <v>1857067.9331199999</v>
      </c>
      <c r="N199" s="117">
        <f t="shared" si="14"/>
        <v>1557067.9331199999</v>
      </c>
      <c r="O199" s="119"/>
      <c r="P199" s="120">
        <v>189</v>
      </c>
      <c r="R199" s="121">
        <f t="shared" si="17"/>
        <v>0</v>
      </c>
      <c r="S199" s="109"/>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row>
    <row r="200" spans="1:45" x14ac:dyDescent="0.2">
      <c r="A200" s="46" t="s">
        <v>66</v>
      </c>
      <c r="B200" s="47">
        <v>2</v>
      </c>
      <c r="C200" s="47">
        <v>66</v>
      </c>
      <c r="D200" s="47" t="s">
        <v>40</v>
      </c>
      <c r="E200" s="52">
        <v>12</v>
      </c>
      <c r="F200" s="52">
        <v>3</v>
      </c>
      <c r="G200" s="52">
        <v>77.31</v>
      </c>
      <c r="H200" s="52">
        <v>9.8699999999999992</v>
      </c>
      <c r="I200" s="63">
        <v>4.84</v>
      </c>
      <c r="J200" s="47">
        <v>1</v>
      </c>
      <c r="K200" s="50">
        <f t="shared" si="19"/>
        <v>1446445.5328199998</v>
      </c>
      <c r="L200" s="51" t="s">
        <v>97</v>
      </c>
      <c r="M200" s="91">
        <f t="shared" si="18"/>
        <v>1453677.7604840996</v>
      </c>
      <c r="N200" s="51">
        <f t="shared" ref="N200:N235" si="20">M200-MIN(300000,20%*M200)</f>
        <v>1162942.2083872797</v>
      </c>
      <c r="O200" s="110"/>
      <c r="P200" s="53">
        <v>218</v>
      </c>
      <c r="R200" s="109">
        <f>M200/K200-1</f>
        <v>4.9999999999998934E-3</v>
      </c>
      <c r="S200" s="109"/>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row>
    <row r="201" spans="1:45" x14ac:dyDescent="0.2">
      <c r="A201" s="46" t="s">
        <v>66</v>
      </c>
      <c r="B201" s="47">
        <v>2</v>
      </c>
      <c r="C201" s="47">
        <v>67</v>
      </c>
      <c r="D201" s="47" t="s">
        <v>41</v>
      </c>
      <c r="E201" s="52">
        <v>12</v>
      </c>
      <c r="F201" s="52">
        <v>4</v>
      </c>
      <c r="G201" s="52">
        <v>100.75</v>
      </c>
      <c r="H201" s="52">
        <v>11.97</v>
      </c>
      <c r="I201" s="63">
        <v>7.09</v>
      </c>
      <c r="J201" s="47">
        <v>1</v>
      </c>
      <c r="K201" s="50">
        <f t="shared" si="19"/>
        <v>1875361.7150199998</v>
      </c>
      <c r="L201" s="51" t="s">
        <v>97</v>
      </c>
      <c r="M201" s="91">
        <f t="shared" si="18"/>
        <v>1884738.5235950996</v>
      </c>
      <c r="N201" s="51">
        <f t="shared" si="20"/>
        <v>1584738.5235950996</v>
      </c>
      <c r="O201" s="110"/>
      <c r="P201" s="53">
        <v>210</v>
      </c>
      <c r="R201" s="109">
        <f t="shared" ref="R201:R235" si="21">M201/K201-1</f>
        <v>4.9999999999998934E-3</v>
      </c>
      <c r="S201" s="109"/>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row>
    <row r="202" spans="1:45" x14ac:dyDescent="0.2">
      <c r="A202" s="46" t="s">
        <v>66</v>
      </c>
      <c r="B202" s="47">
        <v>2</v>
      </c>
      <c r="C202" s="47">
        <v>68</v>
      </c>
      <c r="D202" s="47" t="s">
        <v>45</v>
      </c>
      <c r="E202" s="52">
        <v>12</v>
      </c>
      <c r="F202" s="52">
        <v>4</v>
      </c>
      <c r="G202" s="52">
        <v>103.15</v>
      </c>
      <c r="H202" s="52">
        <v>13.16</v>
      </c>
      <c r="I202" s="63">
        <v>5.41</v>
      </c>
      <c r="J202" s="47">
        <v>1</v>
      </c>
      <c r="K202" s="50">
        <f t="shared" si="19"/>
        <v>1911176.3021199999</v>
      </c>
      <c r="L202" s="51" t="s">
        <v>97</v>
      </c>
      <c r="M202" s="91">
        <f t="shared" si="18"/>
        <v>1920732.1836305996</v>
      </c>
      <c r="N202" s="51">
        <f t="shared" si="20"/>
        <v>1620732.1836305996</v>
      </c>
      <c r="O202" s="110"/>
      <c r="P202" s="53">
        <v>77</v>
      </c>
      <c r="R202" s="109">
        <f t="shared" si="21"/>
        <v>4.9999999999998934E-3</v>
      </c>
      <c r="S202" s="109"/>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row>
    <row r="203" spans="1:45" x14ac:dyDescent="0.2">
      <c r="A203" s="46" t="s">
        <v>66</v>
      </c>
      <c r="B203" s="47">
        <v>2</v>
      </c>
      <c r="C203" s="47">
        <v>69</v>
      </c>
      <c r="D203" s="47" t="s">
        <v>69</v>
      </c>
      <c r="E203" s="52">
        <v>12</v>
      </c>
      <c r="F203" s="52">
        <v>3</v>
      </c>
      <c r="G203" s="52">
        <v>82.26</v>
      </c>
      <c r="H203" s="52">
        <v>13.55</v>
      </c>
      <c r="I203" s="63">
        <v>5.76</v>
      </c>
      <c r="J203" s="47">
        <v>1</v>
      </c>
      <c r="K203" s="50">
        <f t="shared" si="19"/>
        <v>1556757.8965399999</v>
      </c>
      <c r="L203" s="51" t="s">
        <v>97</v>
      </c>
      <c r="M203" s="91">
        <f t="shared" si="18"/>
        <v>1564541.6860226998</v>
      </c>
      <c r="N203" s="51">
        <f t="shared" si="20"/>
        <v>1264541.6860226998</v>
      </c>
      <c r="O203" s="110"/>
      <c r="P203" s="53">
        <v>183</v>
      </c>
      <c r="R203" s="109">
        <f t="shared" si="21"/>
        <v>4.9999999999998934E-3</v>
      </c>
      <c r="S203" s="109"/>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row>
    <row r="204" spans="1:45" x14ac:dyDescent="0.2">
      <c r="A204" s="46" t="s">
        <v>66</v>
      </c>
      <c r="B204" s="47">
        <v>2</v>
      </c>
      <c r="C204" s="47">
        <v>70</v>
      </c>
      <c r="D204" s="47" t="s">
        <v>70</v>
      </c>
      <c r="E204" s="52">
        <v>12</v>
      </c>
      <c r="F204" s="52">
        <v>5</v>
      </c>
      <c r="G204" s="52">
        <v>118.49</v>
      </c>
      <c r="H204" s="52">
        <v>13.87</v>
      </c>
      <c r="I204" s="63">
        <v>7.33</v>
      </c>
      <c r="J204" s="47">
        <v>1</v>
      </c>
      <c r="K204" s="50">
        <f t="shared" si="19"/>
        <v>2191526.36258</v>
      </c>
      <c r="L204" s="51" t="s">
        <v>97</v>
      </c>
      <c r="M204" s="91">
        <f t="shared" si="18"/>
        <v>2202483.9943928998</v>
      </c>
      <c r="N204" s="51">
        <f t="shared" si="20"/>
        <v>1902483.9943928998</v>
      </c>
      <c r="O204" s="110"/>
      <c r="P204" s="53">
        <v>88</v>
      </c>
      <c r="R204" s="109">
        <f t="shared" si="21"/>
        <v>4.9999999999998934E-3</v>
      </c>
      <c r="S204" s="109"/>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row>
    <row r="205" spans="1:45" x14ac:dyDescent="0.2">
      <c r="A205" s="46" t="s">
        <v>66</v>
      </c>
      <c r="B205" s="47">
        <v>2</v>
      </c>
      <c r="C205" s="47">
        <v>71</v>
      </c>
      <c r="D205" s="47" t="s">
        <v>72</v>
      </c>
      <c r="E205" s="52">
        <v>12</v>
      </c>
      <c r="F205" s="52">
        <v>4</v>
      </c>
      <c r="G205" s="52">
        <v>99.43</v>
      </c>
      <c r="H205" s="52">
        <v>12.38</v>
      </c>
      <c r="I205" s="63">
        <v>7.65</v>
      </c>
      <c r="J205" s="47">
        <v>1</v>
      </c>
      <c r="K205" s="50">
        <f t="shared" si="19"/>
        <v>1858648.24104</v>
      </c>
      <c r="L205" s="51" t="s">
        <v>97</v>
      </c>
      <c r="M205" s="91">
        <f t="shared" si="18"/>
        <v>1867941.4822451998</v>
      </c>
      <c r="N205" s="51">
        <f t="shared" si="20"/>
        <v>1567941.4822451998</v>
      </c>
      <c r="O205" s="110"/>
      <c r="P205" s="53">
        <v>180</v>
      </c>
      <c r="R205" s="109">
        <f t="shared" si="21"/>
        <v>4.9999999999998934E-3</v>
      </c>
      <c r="S205" s="109"/>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row>
    <row r="206" spans="1:45" x14ac:dyDescent="0.2">
      <c r="A206" s="46" t="s">
        <v>66</v>
      </c>
      <c r="B206" s="47">
        <v>2</v>
      </c>
      <c r="C206" s="47">
        <v>72</v>
      </c>
      <c r="D206" s="47" t="s">
        <v>73</v>
      </c>
      <c r="E206" s="52">
        <v>13</v>
      </c>
      <c r="F206" s="52">
        <v>5</v>
      </c>
      <c r="G206" s="52">
        <v>136.31</v>
      </c>
      <c r="H206" s="47">
        <v>23.47</v>
      </c>
      <c r="I206" s="63">
        <v>7.54</v>
      </c>
      <c r="J206" s="47">
        <v>1</v>
      </c>
      <c r="K206" s="50">
        <f t="shared" si="19"/>
        <v>2519397.3128299993</v>
      </c>
      <c r="L206" s="51" t="s">
        <v>97</v>
      </c>
      <c r="M206" s="91">
        <f t="shared" si="18"/>
        <v>2544591.2859582994</v>
      </c>
      <c r="N206" s="51">
        <f t="shared" si="20"/>
        <v>2244591.2859582994</v>
      </c>
      <c r="O206" s="110"/>
      <c r="P206" s="53">
        <v>60</v>
      </c>
      <c r="R206" s="109">
        <f t="shared" si="21"/>
        <v>1.0000000000000009E-2</v>
      </c>
      <c r="S206" s="109"/>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row>
    <row r="207" spans="1:45" x14ac:dyDescent="0.2">
      <c r="A207" s="46" t="s">
        <v>66</v>
      </c>
      <c r="B207" s="47">
        <v>2</v>
      </c>
      <c r="C207" s="47">
        <v>73</v>
      </c>
      <c r="D207" s="47" t="s">
        <v>74</v>
      </c>
      <c r="E207" s="52">
        <v>13</v>
      </c>
      <c r="F207" s="52">
        <v>6</v>
      </c>
      <c r="G207" s="52">
        <v>143.22</v>
      </c>
      <c r="H207" s="47">
        <v>15.9</v>
      </c>
      <c r="I207" s="63">
        <v>5.52</v>
      </c>
      <c r="J207" s="47">
        <v>1</v>
      </c>
      <c r="K207" s="50"/>
      <c r="L207" s="51" t="s">
        <v>98</v>
      </c>
      <c r="M207" s="91">
        <f t="shared" si="18"/>
        <v>0</v>
      </c>
      <c r="N207" s="51">
        <f t="shared" si="20"/>
        <v>0</v>
      </c>
      <c r="O207" s="110"/>
      <c r="P207" s="53">
        <v>80</v>
      </c>
      <c r="R207" s="109" t="e">
        <f t="shared" si="21"/>
        <v>#DIV/0!</v>
      </c>
      <c r="S207" s="109"/>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row>
    <row r="208" spans="1:45" x14ac:dyDescent="0.2">
      <c r="A208" s="46" t="s">
        <v>66</v>
      </c>
      <c r="B208" s="47">
        <v>2</v>
      </c>
      <c r="C208" s="47">
        <v>74</v>
      </c>
      <c r="D208" s="47" t="s">
        <v>75</v>
      </c>
      <c r="E208" s="52">
        <v>13</v>
      </c>
      <c r="F208" s="52">
        <v>6</v>
      </c>
      <c r="G208" s="52">
        <v>146.99</v>
      </c>
      <c r="H208" s="47">
        <v>33.28</v>
      </c>
      <c r="I208" s="63">
        <v>6.91</v>
      </c>
      <c r="J208" s="47">
        <v>1</v>
      </c>
      <c r="K208" s="50"/>
      <c r="L208" s="51" t="s">
        <v>98</v>
      </c>
      <c r="M208" s="91">
        <f t="shared" si="18"/>
        <v>0</v>
      </c>
      <c r="N208" s="51">
        <f t="shared" si="20"/>
        <v>0</v>
      </c>
      <c r="O208" s="110"/>
      <c r="P208" s="53">
        <v>61</v>
      </c>
      <c r="R208" s="109" t="e">
        <f t="shared" si="21"/>
        <v>#DIV/0!</v>
      </c>
      <c r="S208" s="109"/>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row>
    <row r="209" spans="1:45" x14ac:dyDescent="0.2">
      <c r="A209" s="46" t="s">
        <v>66</v>
      </c>
      <c r="B209" s="47">
        <v>2</v>
      </c>
      <c r="C209" s="47">
        <v>75</v>
      </c>
      <c r="D209" s="47" t="s">
        <v>76</v>
      </c>
      <c r="E209" s="52">
        <v>13</v>
      </c>
      <c r="F209" s="52">
        <v>6</v>
      </c>
      <c r="G209" s="52">
        <v>142.21</v>
      </c>
      <c r="H209" s="47">
        <v>14.84</v>
      </c>
      <c r="I209" s="63">
        <v>7.53</v>
      </c>
      <c r="J209" s="47">
        <v>1</v>
      </c>
      <c r="K209" s="50">
        <f t="shared" si="19"/>
        <v>2605343.73324</v>
      </c>
      <c r="L209" s="51" t="s">
        <v>97</v>
      </c>
      <c r="M209" s="91">
        <f t="shared" si="18"/>
        <v>2631397.1705724001</v>
      </c>
      <c r="N209" s="51">
        <f t="shared" si="20"/>
        <v>2331397.1705724001</v>
      </c>
      <c r="O209" s="110"/>
      <c r="P209" s="53">
        <v>211</v>
      </c>
      <c r="R209" s="109">
        <f t="shared" si="21"/>
        <v>1.0000000000000009E-2</v>
      </c>
      <c r="S209" s="109"/>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row>
    <row r="210" spans="1:45" x14ac:dyDescent="0.2">
      <c r="A210" s="46" t="s">
        <v>66</v>
      </c>
      <c r="B210" s="47">
        <v>2</v>
      </c>
      <c r="C210" s="47">
        <v>76</v>
      </c>
      <c r="D210" s="47" t="s">
        <v>73</v>
      </c>
      <c r="E210" s="52">
        <v>14</v>
      </c>
      <c r="F210" s="52">
        <v>5</v>
      </c>
      <c r="G210" s="52">
        <v>136.31</v>
      </c>
      <c r="H210" s="47">
        <v>23.47</v>
      </c>
      <c r="I210" s="63">
        <v>7.69</v>
      </c>
      <c r="J210" s="47">
        <v>1</v>
      </c>
      <c r="K210" s="50">
        <f t="shared" si="19"/>
        <v>2520427.9484299994</v>
      </c>
      <c r="L210" s="51" t="s">
        <v>97</v>
      </c>
      <c r="M210" s="91">
        <f t="shared" si="18"/>
        <v>2558234.3676564493</v>
      </c>
      <c r="N210" s="51">
        <f t="shared" si="20"/>
        <v>2258234.3676564493</v>
      </c>
      <c r="O210" s="110"/>
      <c r="P210" s="53">
        <v>69</v>
      </c>
      <c r="R210" s="109">
        <f t="shared" si="21"/>
        <v>1.4999999999999902E-2</v>
      </c>
      <c r="S210" s="109"/>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row>
    <row r="211" spans="1:45" x14ac:dyDescent="0.2">
      <c r="A211" s="46" t="s">
        <v>66</v>
      </c>
      <c r="B211" s="47">
        <v>2</v>
      </c>
      <c r="C211" s="47">
        <v>77</v>
      </c>
      <c r="D211" s="47" t="s">
        <v>74</v>
      </c>
      <c r="E211" s="52">
        <v>14</v>
      </c>
      <c r="F211" s="52">
        <v>6</v>
      </c>
      <c r="G211" s="52">
        <v>143.22</v>
      </c>
      <c r="H211" s="47">
        <v>15.9</v>
      </c>
      <c r="I211" s="63">
        <v>9.98</v>
      </c>
      <c r="J211" s="47">
        <v>1</v>
      </c>
      <c r="K211" s="50"/>
      <c r="L211" s="51" t="s">
        <v>98</v>
      </c>
      <c r="M211" s="91">
        <f t="shared" si="18"/>
        <v>0</v>
      </c>
      <c r="N211" s="51">
        <f t="shared" si="20"/>
        <v>0</v>
      </c>
      <c r="O211" s="110"/>
      <c r="P211" s="53">
        <v>223</v>
      </c>
      <c r="R211" s="109" t="e">
        <f t="shared" si="21"/>
        <v>#DIV/0!</v>
      </c>
      <c r="S211" s="109"/>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row>
    <row r="212" spans="1:45" x14ac:dyDescent="0.2">
      <c r="A212" s="46" t="s">
        <v>66</v>
      </c>
      <c r="B212" s="47">
        <v>2</v>
      </c>
      <c r="C212" s="47">
        <v>78</v>
      </c>
      <c r="D212" s="47" t="s">
        <v>75</v>
      </c>
      <c r="E212" s="52">
        <v>14</v>
      </c>
      <c r="F212" s="52">
        <v>6</v>
      </c>
      <c r="G212" s="52">
        <v>146.99</v>
      </c>
      <c r="H212" s="47">
        <v>33.28</v>
      </c>
      <c r="I212" s="63">
        <v>7.92</v>
      </c>
      <c r="J212" s="47">
        <v>1</v>
      </c>
      <c r="K212" s="50"/>
      <c r="L212" s="51" t="s">
        <v>98</v>
      </c>
      <c r="M212" s="91">
        <f t="shared" si="18"/>
        <v>0</v>
      </c>
      <c r="N212" s="51">
        <f t="shared" si="20"/>
        <v>0</v>
      </c>
      <c r="O212" s="110"/>
      <c r="P212" s="53">
        <v>53</v>
      </c>
      <c r="R212" s="109" t="e">
        <f t="shared" si="21"/>
        <v>#DIV/0!</v>
      </c>
      <c r="S212" s="109"/>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row>
    <row r="213" spans="1:45" x14ac:dyDescent="0.2">
      <c r="A213" s="46" t="s">
        <v>66</v>
      </c>
      <c r="B213" s="47">
        <v>2</v>
      </c>
      <c r="C213" s="47">
        <v>79</v>
      </c>
      <c r="D213" s="47" t="s">
        <v>76</v>
      </c>
      <c r="E213" s="52">
        <v>14</v>
      </c>
      <c r="F213" s="52">
        <v>6</v>
      </c>
      <c r="G213" s="52">
        <v>142.21</v>
      </c>
      <c r="H213" s="47">
        <v>14.84</v>
      </c>
      <c r="I213" s="63">
        <v>5.81</v>
      </c>
      <c r="J213" s="47">
        <v>1</v>
      </c>
      <c r="K213" s="50">
        <f t="shared" si="19"/>
        <v>2593525.7783599999</v>
      </c>
      <c r="L213" s="51" t="s">
        <v>97</v>
      </c>
      <c r="M213" s="91">
        <f t="shared" si="18"/>
        <v>2632428.6650353996</v>
      </c>
      <c r="N213" s="51">
        <f t="shared" si="20"/>
        <v>2332428.6650353996</v>
      </c>
      <c r="O213" s="110"/>
      <c r="P213" s="53">
        <v>52</v>
      </c>
      <c r="R213" s="109">
        <f t="shared" si="21"/>
        <v>1.4999999999999902E-2</v>
      </c>
      <c r="S213" s="109"/>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row>
    <row r="214" spans="1:45" x14ac:dyDescent="0.2">
      <c r="A214" s="46" t="s">
        <v>66</v>
      </c>
      <c r="B214" s="47">
        <v>2</v>
      </c>
      <c r="C214" s="47">
        <v>80</v>
      </c>
      <c r="D214" s="47" t="s">
        <v>73</v>
      </c>
      <c r="E214" s="52">
        <v>15</v>
      </c>
      <c r="F214" s="52">
        <v>5</v>
      </c>
      <c r="G214" s="52">
        <v>136.31</v>
      </c>
      <c r="H214" s="47">
        <v>23.47</v>
      </c>
      <c r="I214" s="63">
        <v>6.88</v>
      </c>
      <c r="J214" s="47">
        <v>1</v>
      </c>
      <c r="K214" s="50"/>
      <c r="L214" s="51" t="s">
        <v>98</v>
      </c>
      <c r="M214" s="91">
        <f t="shared" si="18"/>
        <v>0</v>
      </c>
      <c r="N214" s="51">
        <f t="shared" si="20"/>
        <v>0</v>
      </c>
      <c r="O214" s="110"/>
      <c r="P214" s="53">
        <v>205</v>
      </c>
      <c r="R214" s="109" t="e">
        <f t="shared" si="21"/>
        <v>#DIV/0!</v>
      </c>
      <c r="S214" s="109"/>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row>
    <row r="215" spans="1:45" x14ac:dyDescent="0.2">
      <c r="A215" s="46" t="s">
        <v>66</v>
      </c>
      <c r="B215" s="47">
        <v>2</v>
      </c>
      <c r="C215" s="47">
        <v>81</v>
      </c>
      <c r="D215" s="47" t="s">
        <v>74</v>
      </c>
      <c r="E215" s="52">
        <v>15</v>
      </c>
      <c r="F215" s="52">
        <v>6</v>
      </c>
      <c r="G215" s="52">
        <v>143.22</v>
      </c>
      <c r="H215" s="47">
        <v>15.9</v>
      </c>
      <c r="I215" s="63">
        <v>10.72</v>
      </c>
      <c r="J215" s="47">
        <v>1</v>
      </c>
      <c r="K215" s="50"/>
      <c r="L215" s="51" t="s">
        <v>98</v>
      </c>
      <c r="M215" s="91">
        <f t="shared" si="18"/>
        <v>0</v>
      </c>
      <c r="N215" s="51">
        <f t="shared" si="20"/>
        <v>0</v>
      </c>
      <c r="O215" s="110"/>
      <c r="P215" s="53">
        <v>202</v>
      </c>
      <c r="R215" s="109" t="e">
        <f t="shared" si="21"/>
        <v>#DIV/0!</v>
      </c>
      <c r="S215" s="109"/>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row>
    <row r="216" spans="1:45" x14ac:dyDescent="0.2">
      <c r="A216" s="46" t="s">
        <v>66</v>
      </c>
      <c r="B216" s="47">
        <v>2</v>
      </c>
      <c r="C216" s="47">
        <v>82</v>
      </c>
      <c r="D216" s="47" t="s">
        <v>75</v>
      </c>
      <c r="E216" s="52">
        <v>15</v>
      </c>
      <c r="F216" s="52">
        <v>6</v>
      </c>
      <c r="G216" s="52">
        <v>146.99</v>
      </c>
      <c r="H216" s="47">
        <v>33.28</v>
      </c>
      <c r="I216" s="63">
        <v>8.02</v>
      </c>
      <c r="J216" s="47">
        <v>1</v>
      </c>
      <c r="K216" s="50"/>
      <c r="L216" s="51" t="s">
        <v>98</v>
      </c>
      <c r="M216" s="91">
        <f t="shared" si="18"/>
        <v>0</v>
      </c>
      <c r="N216" s="51">
        <f t="shared" si="20"/>
        <v>0</v>
      </c>
      <c r="O216" s="110"/>
      <c r="P216" s="53">
        <v>54</v>
      </c>
      <c r="R216" s="109" t="e">
        <f t="shared" si="21"/>
        <v>#DIV/0!</v>
      </c>
      <c r="S216" s="109"/>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row>
    <row r="217" spans="1:45" x14ac:dyDescent="0.2">
      <c r="A217" s="46" t="s">
        <v>66</v>
      </c>
      <c r="B217" s="47">
        <v>2</v>
      </c>
      <c r="C217" s="47">
        <v>83</v>
      </c>
      <c r="D217" s="47" t="s">
        <v>76</v>
      </c>
      <c r="E217" s="52">
        <v>15</v>
      </c>
      <c r="F217" s="52">
        <v>6</v>
      </c>
      <c r="G217" s="52">
        <v>142.21</v>
      </c>
      <c r="H217" s="47">
        <v>14.84</v>
      </c>
      <c r="I217" s="63">
        <v>9.76</v>
      </c>
      <c r="J217" s="47">
        <v>1</v>
      </c>
      <c r="K217" s="50">
        <f t="shared" si="19"/>
        <v>2620665.8491599998</v>
      </c>
      <c r="L217" s="51" t="s">
        <v>97</v>
      </c>
      <c r="M217" s="91">
        <f t="shared" si="18"/>
        <v>2673079.1661431999</v>
      </c>
      <c r="N217" s="51">
        <f t="shared" si="20"/>
        <v>2373079.1661431999</v>
      </c>
      <c r="O217" s="110"/>
      <c r="P217" s="53">
        <v>215</v>
      </c>
      <c r="R217" s="109">
        <f t="shared" si="21"/>
        <v>2.0000000000000018E-2</v>
      </c>
      <c r="S217" s="109"/>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row>
    <row r="218" spans="1:45" x14ac:dyDescent="0.2">
      <c r="A218" s="46" t="s">
        <v>66</v>
      </c>
      <c r="B218" s="47">
        <v>2</v>
      </c>
      <c r="C218" s="47">
        <v>84</v>
      </c>
      <c r="D218" s="47" t="s">
        <v>73</v>
      </c>
      <c r="E218" s="52">
        <v>16</v>
      </c>
      <c r="F218" s="52">
        <v>5</v>
      </c>
      <c r="G218" s="52">
        <v>136.31</v>
      </c>
      <c r="H218" s="47">
        <v>23.47</v>
      </c>
      <c r="I218" s="63">
        <v>7.07</v>
      </c>
      <c r="J218" s="47">
        <v>1</v>
      </c>
      <c r="K218" s="50"/>
      <c r="L218" s="51" t="s">
        <v>98</v>
      </c>
      <c r="M218" s="91">
        <f t="shared" si="18"/>
        <v>0</v>
      </c>
      <c r="N218" s="51">
        <f t="shared" si="20"/>
        <v>0</v>
      </c>
      <c r="O218" s="110"/>
      <c r="P218" s="53">
        <v>209</v>
      </c>
      <c r="R218" s="109" t="e">
        <f t="shared" si="21"/>
        <v>#DIV/0!</v>
      </c>
      <c r="S218" s="109"/>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row>
    <row r="219" spans="1:45" x14ac:dyDescent="0.2">
      <c r="A219" s="46" t="s">
        <v>66</v>
      </c>
      <c r="B219" s="47">
        <v>2</v>
      </c>
      <c r="C219" s="47">
        <v>85</v>
      </c>
      <c r="D219" s="47" t="s">
        <v>74</v>
      </c>
      <c r="E219" s="52">
        <v>16</v>
      </c>
      <c r="F219" s="52">
        <v>6</v>
      </c>
      <c r="G219" s="52">
        <v>143.22</v>
      </c>
      <c r="H219" s="47">
        <v>15.9</v>
      </c>
      <c r="I219" s="63">
        <v>11.3</v>
      </c>
      <c r="J219" s="47">
        <v>1</v>
      </c>
      <c r="K219" s="50"/>
      <c r="L219" s="51" t="s">
        <v>98</v>
      </c>
      <c r="M219" s="91">
        <f t="shared" si="18"/>
        <v>0</v>
      </c>
      <c r="N219" s="51">
        <f t="shared" si="20"/>
        <v>0</v>
      </c>
      <c r="O219" s="110"/>
      <c r="P219" s="53">
        <v>208</v>
      </c>
      <c r="R219" s="109" t="e">
        <f t="shared" si="21"/>
        <v>#DIV/0!</v>
      </c>
      <c r="S219" s="109"/>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row>
    <row r="220" spans="1:45" x14ac:dyDescent="0.2">
      <c r="A220" s="46" t="s">
        <v>66</v>
      </c>
      <c r="B220" s="47">
        <v>2</v>
      </c>
      <c r="C220" s="47">
        <v>86</v>
      </c>
      <c r="D220" s="47" t="s">
        <v>75</v>
      </c>
      <c r="E220" s="52">
        <v>16</v>
      </c>
      <c r="F220" s="52">
        <v>6</v>
      </c>
      <c r="G220" s="52">
        <v>146.99</v>
      </c>
      <c r="H220" s="47">
        <v>33.28</v>
      </c>
      <c r="I220" s="63">
        <v>8.36</v>
      </c>
      <c r="J220" s="47">
        <v>1</v>
      </c>
      <c r="K220" s="50"/>
      <c r="L220" s="51" t="s">
        <v>98</v>
      </c>
      <c r="M220" s="91">
        <f t="shared" si="18"/>
        <v>0</v>
      </c>
      <c r="N220" s="51">
        <f t="shared" si="20"/>
        <v>0</v>
      </c>
      <c r="O220" s="110"/>
      <c r="P220" s="53">
        <v>55</v>
      </c>
      <c r="R220" s="109" t="e">
        <f t="shared" si="21"/>
        <v>#DIV/0!</v>
      </c>
      <c r="S220" s="109"/>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row>
    <row r="221" spans="1:45" x14ac:dyDescent="0.2">
      <c r="A221" s="46" t="s">
        <v>66</v>
      </c>
      <c r="B221" s="47">
        <v>2</v>
      </c>
      <c r="C221" s="47">
        <v>87</v>
      </c>
      <c r="D221" s="47" t="s">
        <v>76</v>
      </c>
      <c r="E221" s="52">
        <v>16</v>
      </c>
      <c r="F221" s="52">
        <v>6</v>
      </c>
      <c r="G221" s="52">
        <v>142.21</v>
      </c>
      <c r="H221" s="47">
        <v>14.84</v>
      </c>
      <c r="I221" s="63">
        <v>9.3800000000000008</v>
      </c>
      <c r="J221" s="47">
        <v>1</v>
      </c>
      <c r="K221" s="50">
        <f t="shared" si="19"/>
        <v>2618054.90564</v>
      </c>
      <c r="L221" s="51" t="s">
        <v>97</v>
      </c>
      <c r="M221" s="91">
        <f t="shared" si="18"/>
        <v>2683506.278281</v>
      </c>
      <c r="N221" s="51">
        <f t="shared" si="20"/>
        <v>2383506.278281</v>
      </c>
      <c r="O221" s="110"/>
      <c r="P221" s="53">
        <v>66</v>
      </c>
      <c r="R221" s="109">
        <f t="shared" si="21"/>
        <v>2.4999999999999911E-2</v>
      </c>
      <c r="S221" s="109"/>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row>
    <row r="222" spans="1:45" x14ac:dyDescent="0.2">
      <c r="A222" s="46" t="s">
        <v>66</v>
      </c>
      <c r="B222" s="47">
        <v>2</v>
      </c>
      <c r="C222" s="47">
        <v>88</v>
      </c>
      <c r="D222" s="47" t="s">
        <v>73</v>
      </c>
      <c r="E222" s="52">
        <v>17</v>
      </c>
      <c r="F222" s="52">
        <v>5</v>
      </c>
      <c r="G222" s="52">
        <v>136.31</v>
      </c>
      <c r="H222" s="47">
        <v>23.47</v>
      </c>
      <c r="I222" s="63">
        <v>8.94</v>
      </c>
      <c r="J222" s="47">
        <v>1</v>
      </c>
      <c r="K222" s="50"/>
      <c r="L222" s="51" t="s">
        <v>98</v>
      </c>
      <c r="M222" s="91">
        <f t="shared" si="18"/>
        <v>0</v>
      </c>
      <c r="N222" s="51">
        <f t="shared" si="20"/>
        <v>0</v>
      </c>
      <c r="O222" s="110"/>
      <c r="P222" s="53">
        <v>194</v>
      </c>
      <c r="R222" s="109" t="e">
        <f t="shared" si="21"/>
        <v>#DIV/0!</v>
      </c>
      <c r="S222" s="109"/>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row>
    <row r="223" spans="1:45" x14ac:dyDescent="0.2">
      <c r="A223" s="46" t="s">
        <v>66</v>
      </c>
      <c r="B223" s="47">
        <v>2</v>
      </c>
      <c r="C223" s="47">
        <v>89</v>
      </c>
      <c r="D223" s="47" t="s">
        <v>74</v>
      </c>
      <c r="E223" s="52">
        <v>17</v>
      </c>
      <c r="F223" s="52">
        <v>6</v>
      </c>
      <c r="G223" s="52">
        <v>143.22</v>
      </c>
      <c r="H223" s="47">
        <v>15.9</v>
      </c>
      <c r="I223" s="63">
        <v>9.16</v>
      </c>
      <c r="J223" s="47">
        <v>1</v>
      </c>
      <c r="K223" s="50"/>
      <c r="L223" s="51" t="s">
        <v>98</v>
      </c>
      <c r="M223" s="91">
        <f t="shared" si="18"/>
        <v>0</v>
      </c>
      <c r="N223" s="51">
        <f t="shared" si="20"/>
        <v>0</v>
      </c>
      <c r="O223" s="110"/>
      <c r="P223" s="53">
        <v>152</v>
      </c>
      <c r="R223" s="109" t="e">
        <f t="shared" si="21"/>
        <v>#DIV/0!</v>
      </c>
      <c r="S223" s="109"/>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row>
    <row r="224" spans="1:45" x14ac:dyDescent="0.2">
      <c r="A224" s="46" t="s">
        <v>66</v>
      </c>
      <c r="B224" s="47">
        <v>2</v>
      </c>
      <c r="C224" s="47">
        <v>90</v>
      </c>
      <c r="D224" s="47" t="s">
        <v>75</v>
      </c>
      <c r="E224" s="52">
        <v>17</v>
      </c>
      <c r="F224" s="52">
        <v>6</v>
      </c>
      <c r="G224" s="52">
        <v>146.99</v>
      </c>
      <c r="H224" s="47">
        <v>33.28</v>
      </c>
      <c r="I224" s="63">
        <v>9.32</v>
      </c>
      <c r="J224" s="47">
        <v>1</v>
      </c>
      <c r="K224" s="50"/>
      <c r="L224" s="51" t="s">
        <v>98</v>
      </c>
      <c r="M224" s="91">
        <f t="shared" si="18"/>
        <v>0</v>
      </c>
      <c r="N224" s="51">
        <f t="shared" si="20"/>
        <v>0</v>
      </c>
      <c r="O224" s="110"/>
      <c r="P224" s="53">
        <v>89</v>
      </c>
      <c r="R224" s="109" t="e">
        <f t="shared" si="21"/>
        <v>#DIV/0!</v>
      </c>
      <c r="S224" s="109"/>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row>
    <row r="225" spans="1:45" x14ac:dyDescent="0.2">
      <c r="A225" s="46" t="s">
        <v>66</v>
      </c>
      <c r="B225" s="47">
        <v>2</v>
      </c>
      <c r="C225" s="47">
        <v>91</v>
      </c>
      <c r="D225" s="47" t="s">
        <v>76</v>
      </c>
      <c r="E225" s="52">
        <v>17</v>
      </c>
      <c r="F225" s="52">
        <v>6</v>
      </c>
      <c r="G225" s="52">
        <v>142.21</v>
      </c>
      <c r="H225" s="47">
        <v>14.84</v>
      </c>
      <c r="I225" s="63">
        <v>10.97</v>
      </c>
      <c r="J225" s="47">
        <v>1</v>
      </c>
      <c r="K225" s="50"/>
      <c r="L225" s="51" t="s">
        <v>98</v>
      </c>
      <c r="M225" s="91">
        <f t="shared" si="18"/>
        <v>0</v>
      </c>
      <c r="N225" s="51">
        <f t="shared" si="20"/>
        <v>0</v>
      </c>
      <c r="O225" s="110"/>
      <c r="P225" s="53">
        <v>207</v>
      </c>
      <c r="R225" s="109" t="e">
        <f t="shared" si="21"/>
        <v>#DIV/0!</v>
      </c>
      <c r="S225" s="109"/>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row>
    <row r="226" spans="1:45" x14ac:dyDescent="0.2">
      <c r="A226" s="46" t="s">
        <v>66</v>
      </c>
      <c r="B226" s="47">
        <v>2</v>
      </c>
      <c r="C226" s="47">
        <v>92</v>
      </c>
      <c r="D226" s="47" t="s">
        <v>73</v>
      </c>
      <c r="E226" s="52">
        <v>18</v>
      </c>
      <c r="F226" s="52">
        <v>5</v>
      </c>
      <c r="G226" s="52">
        <v>136.31</v>
      </c>
      <c r="H226" s="47">
        <v>23.47</v>
      </c>
      <c r="I226" s="63">
        <v>7.71</v>
      </c>
      <c r="J226" s="47">
        <v>1</v>
      </c>
      <c r="K226" s="50"/>
      <c r="L226" s="51" t="s">
        <v>98</v>
      </c>
      <c r="M226" s="91">
        <f t="shared" si="18"/>
        <v>0</v>
      </c>
      <c r="N226" s="51">
        <f t="shared" si="20"/>
        <v>0</v>
      </c>
      <c r="O226" s="110"/>
      <c r="P226" s="53">
        <v>212</v>
      </c>
      <c r="R226" s="109" t="e">
        <f t="shared" si="21"/>
        <v>#DIV/0!</v>
      </c>
      <c r="S226" s="109"/>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row>
    <row r="227" spans="1:45" x14ac:dyDescent="0.2">
      <c r="A227" s="46" t="s">
        <v>66</v>
      </c>
      <c r="B227" s="47">
        <v>2</v>
      </c>
      <c r="C227" s="47">
        <v>93</v>
      </c>
      <c r="D227" s="47" t="s">
        <v>74</v>
      </c>
      <c r="E227" s="52">
        <v>18</v>
      </c>
      <c r="F227" s="52">
        <v>6</v>
      </c>
      <c r="G227" s="52">
        <v>143.22</v>
      </c>
      <c r="H227" s="47">
        <v>15.9</v>
      </c>
      <c r="I227" s="63">
        <v>8.6999999999999993</v>
      </c>
      <c r="J227" s="47">
        <v>1</v>
      </c>
      <c r="K227" s="50"/>
      <c r="L227" s="51" t="s">
        <v>98</v>
      </c>
      <c r="M227" s="91">
        <f t="shared" si="18"/>
        <v>0</v>
      </c>
      <c r="N227" s="51">
        <f t="shared" si="20"/>
        <v>0</v>
      </c>
      <c r="O227" s="110"/>
      <c r="P227" s="53">
        <v>204</v>
      </c>
      <c r="R227" s="109" t="e">
        <f t="shared" si="21"/>
        <v>#DIV/0!</v>
      </c>
      <c r="S227" s="109"/>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row>
    <row r="228" spans="1:45" x14ac:dyDescent="0.2">
      <c r="A228" s="46" t="s">
        <v>66</v>
      </c>
      <c r="B228" s="47">
        <v>2</v>
      </c>
      <c r="C228" s="47">
        <v>94</v>
      </c>
      <c r="D228" s="47" t="s">
        <v>75</v>
      </c>
      <c r="E228" s="52">
        <v>18</v>
      </c>
      <c r="F228" s="52">
        <v>6</v>
      </c>
      <c r="G228" s="52">
        <v>146.99</v>
      </c>
      <c r="H228" s="47">
        <v>33.28</v>
      </c>
      <c r="I228" s="63">
        <v>10.71</v>
      </c>
      <c r="J228" s="47">
        <v>1</v>
      </c>
      <c r="K228" s="50"/>
      <c r="L228" s="51" t="s">
        <v>98</v>
      </c>
      <c r="M228" s="91">
        <f t="shared" si="18"/>
        <v>0</v>
      </c>
      <c r="N228" s="51">
        <f t="shared" si="20"/>
        <v>0</v>
      </c>
      <c r="O228" s="110"/>
      <c r="P228" s="53">
        <v>216</v>
      </c>
      <c r="R228" s="109" t="e">
        <f t="shared" si="21"/>
        <v>#DIV/0!</v>
      </c>
      <c r="S228" s="109"/>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row>
    <row r="229" spans="1:45" x14ac:dyDescent="0.2">
      <c r="A229" s="46" t="s">
        <v>66</v>
      </c>
      <c r="B229" s="47">
        <v>2</v>
      </c>
      <c r="C229" s="47">
        <v>95</v>
      </c>
      <c r="D229" s="47" t="s">
        <v>76</v>
      </c>
      <c r="E229" s="52">
        <v>18</v>
      </c>
      <c r="F229" s="52">
        <v>6</v>
      </c>
      <c r="G229" s="52">
        <v>142.21</v>
      </c>
      <c r="H229" s="47">
        <v>14.84</v>
      </c>
      <c r="I229" s="63">
        <v>13.23</v>
      </c>
      <c r="J229" s="47">
        <v>1</v>
      </c>
      <c r="K229" s="50"/>
      <c r="L229" s="51" t="s">
        <v>98</v>
      </c>
      <c r="M229" s="91">
        <f t="shared" si="18"/>
        <v>0</v>
      </c>
      <c r="N229" s="51">
        <f t="shared" si="20"/>
        <v>0</v>
      </c>
      <c r="O229" s="110"/>
      <c r="P229" s="53">
        <v>213</v>
      </c>
      <c r="R229" s="109" t="e">
        <f t="shared" si="21"/>
        <v>#DIV/0!</v>
      </c>
      <c r="S229" s="109"/>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row>
    <row r="230" spans="1:45" x14ac:dyDescent="0.2">
      <c r="A230" s="46" t="s">
        <v>66</v>
      </c>
      <c r="B230" s="47">
        <v>2</v>
      </c>
      <c r="C230" s="47">
        <v>96</v>
      </c>
      <c r="D230" s="47" t="s">
        <v>73</v>
      </c>
      <c r="E230" s="52">
        <v>19</v>
      </c>
      <c r="F230" s="52">
        <v>5</v>
      </c>
      <c r="G230" s="52">
        <v>136.31</v>
      </c>
      <c r="H230" s="47">
        <v>23.47</v>
      </c>
      <c r="I230" s="63">
        <v>9.1300000000000008</v>
      </c>
      <c r="J230" s="47">
        <v>1</v>
      </c>
      <c r="K230" s="50"/>
      <c r="L230" s="51" t="s">
        <v>98</v>
      </c>
      <c r="M230" s="91">
        <f t="shared" si="18"/>
        <v>0</v>
      </c>
      <c r="N230" s="51">
        <f t="shared" si="20"/>
        <v>0</v>
      </c>
      <c r="O230" s="110"/>
      <c r="P230" s="53">
        <v>199</v>
      </c>
      <c r="R230" s="109" t="e">
        <f t="shared" si="21"/>
        <v>#DIV/0!</v>
      </c>
      <c r="S230" s="109"/>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row>
    <row r="231" spans="1:45" x14ac:dyDescent="0.2">
      <c r="A231" s="46" t="s">
        <v>66</v>
      </c>
      <c r="B231" s="47">
        <v>2</v>
      </c>
      <c r="C231" s="47">
        <v>97</v>
      </c>
      <c r="D231" s="47" t="s">
        <v>74</v>
      </c>
      <c r="E231" s="52">
        <v>19</v>
      </c>
      <c r="F231" s="52">
        <v>6</v>
      </c>
      <c r="G231" s="52">
        <v>143.22</v>
      </c>
      <c r="H231" s="47">
        <v>15.9</v>
      </c>
      <c r="I231" s="63">
        <v>5.88</v>
      </c>
      <c r="J231" s="47">
        <v>1</v>
      </c>
      <c r="K231" s="50"/>
      <c r="L231" s="51" t="s">
        <v>98</v>
      </c>
      <c r="M231" s="91">
        <f t="shared" si="18"/>
        <v>0</v>
      </c>
      <c r="N231" s="51">
        <f t="shared" si="20"/>
        <v>0</v>
      </c>
      <c r="O231" s="110"/>
      <c r="P231" s="53">
        <v>82</v>
      </c>
      <c r="R231" s="109" t="e">
        <f t="shared" si="21"/>
        <v>#DIV/0!</v>
      </c>
      <c r="S231" s="109"/>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row>
    <row r="232" spans="1:45" x14ac:dyDescent="0.2">
      <c r="A232" s="46" t="s">
        <v>66</v>
      </c>
      <c r="B232" s="47">
        <v>2</v>
      </c>
      <c r="C232" s="47">
        <v>98</v>
      </c>
      <c r="D232" s="47" t="s">
        <v>75</v>
      </c>
      <c r="E232" s="52">
        <v>19</v>
      </c>
      <c r="F232" s="52">
        <v>6</v>
      </c>
      <c r="G232" s="52">
        <v>146.99</v>
      </c>
      <c r="H232" s="47">
        <v>33.28</v>
      </c>
      <c r="I232" s="63">
        <v>9.7200000000000006</v>
      </c>
      <c r="J232" s="47">
        <v>1</v>
      </c>
      <c r="K232" s="50"/>
      <c r="L232" s="51" t="s">
        <v>98</v>
      </c>
      <c r="M232" s="91">
        <f t="shared" si="18"/>
        <v>0</v>
      </c>
      <c r="N232" s="51">
        <f t="shared" si="20"/>
        <v>0</v>
      </c>
      <c r="O232" s="110"/>
      <c r="P232" s="53">
        <v>90</v>
      </c>
      <c r="R232" s="109" t="e">
        <f t="shared" si="21"/>
        <v>#DIV/0!</v>
      </c>
      <c r="S232" s="109"/>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row>
    <row r="233" spans="1:45" x14ac:dyDescent="0.2">
      <c r="A233" s="46" t="s">
        <v>66</v>
      </c>
      <c r="B233" s="47">
        <v>2</v>
      </c>
      <c r="C233" s="47">
        <v>99</v>
      </c>
      <c r="D233" s="47" t="s">
        <v>76</v>
      </c>
      <c r="E233" s="52">
        <v>19</v>
      </c>
      <c r="F233" s="52">
        <v>6</v>
      </c>
      <c r="G233" s="52">
        <v>142.21</v>
      </c>
      <c r="H233" s="47">
        <v>14.84</v>
      </c>
      <c r="I233" s="63">
        <v>5.57</v>
      </c>
      <c r="J233" s="47">
        <v>1</v>
      </c>
      <c r="K233" s="50"/>
      <c r="L233" s="51" t="s">
        <v>98</v>
      </c>
      <c r="M233" s="91">
        <f t="shared" si="18"/>
        <v>0</v>
      </c>
      <c r="N233" s="51">
        <f t="shared" si="20"/>
        <v>0</v>
      </c>
      <c r="O233" s="110"/>
      <c r="P233" s="53">
        <v>51</v>
      </c>
      <c r="R233" s="109" t="e">
        <f t="shared" si="21"/>
        <v>#DIV/0!</v>
      </c>
      <c r="S233" s="109"/>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row>
    <row r="234" spans="1:45" x14ac:dyDescent="0.2">
      <c r="A234" s="46" t="s">
        <v>66</v>
      </c>
      <c r="B234" s="47">
        <v>2</v>
      </c>
      <c r="C234" s="47">
        <v>100</v>
      </c>
      <c r="D234" s="47" t="s">
        <v>77</v>
      </c>
      <c r="E234" s="52">
        <v>20</v>
      </c>
      <c r="F234" s="52">
        <v>6</v>
      </c>
      <c r="G234" s="52">
        <v>159.80000000000001</v>
      </c>
      <c r="H234" s="47">
        <v>174.44</v>
      </c>
      <c r="I234" s="63">
        <v>5.92</v>
      </c>
      <c r="J234" s="47">
        <v>1</v>
      </c>
      <c r="K234" s="50"/>
      <c r="L234" s="51" t="s">
        <v>98</v>
      </c>
      <c r="M234" s="91">
        <f t="shared" si="18"/>
        <v>0</v>
      </c>
      <c r="N234" s="51">
        <f t="shared" si="20"/>
        <v>0</v>
      </c>
      <c r="O234" s="110"/>
      <c r="P234" s="53">
        <v>79</v>
      </c>
      <c r="R234" s="109" t="e">
        <f t="shared" si="21"/>
        <v>#DIV/0!</v>
      </c>
      <c r="S234" s="109"/>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row>
    <row r="235" spans="1:45" ht="15" thickBot="1" x14ac:dyDescent="0.25">
      <c r="A235" s="122" t="s">
        <v>66</v>
      </c>
      <c r="B235" s="123">
        <v>2</v>
      </c>
      <c r="C235" s="123">
        <v>101</v>
      </c>
      <c r="D235" s="123" t="s">
        <v>78</v>
      </c>
      <c r="E235" s="124">
        <v>20</v>
      </c>
      <c r="F235" s="124">
        <v>6.5</v>
      </c>
      <c r="G235" s="124">
        <v>184.99</v>
      </c>
      <c r="H235" s="123">
        <v>122.92</v>
      </c>
      <c r="I235" s="125">
        <v>6.1</v>
      </c>
      <c r="J235" s="123">
        <v>1</v>
      </c>
      <c r="K235" s="126"/>
      <c r="L235" s="127" t="s">
        <v>98</v>
      </c>
      <c r="M235" s="128">
        <f t="shared" si="18"/>
        <v>0</v>
      </c>
      <c r="N235" s="127">
        <f t="shared" si="20"/>
        <v>0</v>
      </c>
      <c r="O235" s="129"/>
      <c r="P235" s="130">
        <v>83</v>
      </c>
      <c r="R235" s="109" t="e">
        <f t="shared" si="21"/>
        <v>#DIV/0!</v>
      </c>
      <c r="S235" s="109"/>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row>
    <row r="236" spans="1:45" ht="15.75" thickBot="1" x14ac:dyDescent="0.3">
      <c r="A236" s="131" t="s">
        <v>54</v>
      </c>
      <c r="B236" s="132"/>
      <c r="C236" s="132"/>
      <c r="D236" s="132"/>
      <c r="E236" s="132"/>
      <c r="F236" s="132"/>
      <c r="G236" s="133">
        <f>SUMIF(L135:L235,"כן",G135:G235)/COUNT(C135:C235)</f>
        <v>76.412990099009917</v>
      </c>
      <c r="H236" s="134"/>
      <c r="I236" s="204" t="s">
        <v>55</v>
      </c>
      <c r="J236" s="204"/>
      <c r="K236" s="204"/>
      <c r="L236" s="135">
        <f>COUNTIF(L135:L235,"כן")/COUNT(C135:C235)</f>
        <v>0.76237623762376239</v>
      </c>
      <c r="M236" s="135"/>
      <c r="N236" s="135"/>
      <c r="O236" s="136"/>
      <c r="P236" s="137"/>
      <c r="S236" s="109"/>
      <c r="AB236" s="41"/>
      <c r="AC236" s="41"/>
      <c r="AD236" s="41"/>
      <c r="AE236" s="41"/>
      <c r="AF236" s="41"/>
      <c r="AG236" s="41"/>
      <c r="AH236" s="41"/>
      <c r="AI236" s="41"/>
      <c r="AJ236" s="41"/>
      <c r="AK236" s="41"/>
      <c r="AL236" s="41"/>
      <c r="AM236" s="41"/>
      <c r="AN236" s="41"/>
      <c r="AO236" s="41"/>
      <c r="AP236" s="41"/>
      <c r="AQ236" s="41"/>
      <c r="AR236" s="41"/>
      <c r="AS236" s="41"/>
    </row>
    <row r="237" spans="1:45" x14ac:dyDescent="0.2">
      <c r="S237" s="109"/>
      <c r="AB237" s="41"/>
      <c r="AC237" s="41"/>
      <c r="AD237" s="41"/>
      <c r="AE237" s="41"/>
      <c r="AF237" s="41"/>
      <c r="AG237" s="41"/>
      <c r="AH237" s="41"/>
      <c r="AI237" s="41"/>
      <c r="AJ237" s="41"/>
      <c r="AK237" s="41"/>
      <c r="AL237" s="41"/>
      <c r="AM237" s="41"/>
      <c r="AN237" s="41"/>
      <c r="AO237" s="41"/>
      <c r="AP237" s="41"/>
      <c r="AQ237" s="41"/>
      <c r="AR237" s="41"/>
      <c r="AS237" s="41"/>
    </row>
    <row r="238" spans="1:45" ht="15" x14ac:dyDescent="0.25">
      <c r="A238" s="187" t="s">
        <v>79</v>
      </c>
      <c r="B238" s="188"/>
      <c r="C238" s="188"/>
      <c r="D238" s="188"/>
      <c r="E238" s="188"/>
      <c r="F238" s="189"/>
      <c r="G238" s="138">
        <f>SUMIF(L11:L236,"כן",G11:G236)</f>
        <v>16983.261999999981</v>
      </c>
      <c r="H238" s="20"/>
      <c r="I238" s="139" t="s">
        <v>80</v>
      </c>
      <c r="J238" s="140"/>
      <c r="K238" s="141"/>
      <c r="L238" s="138">
        <f>COUNTIF(L11:L236,"כן")</f>
        <v>178</v>
      </c>
      <c r="M238" s="142"/>
      <c r="N238" s="142"/>
      <c r="O238" s="143"/>
      <c r="S238" s="109"/>
      <c r="AB238" s="41"/>
      <c r="AC238" s="41"/>
      <c r="AD238" s="41"/>
      <c r="AE238" s="41"/>
      <c r="AF238" s="41"/>
      <c r="AG238" s="41"/>
      <c r="AH238" s="41"/>
      <c r="AI238" s="41"/>
      <c r="AJ238" s="41"/>
      <c r="AK238" s="41"/>
      <c r="AL238" s="41"/>
      <c r="AM238" s="41"/>
      <c r="AN238" s="41"/>
      <c r="AO238" s="41"/>
      <c r="AP238" s="41"/>
      <c r="AQ238" s="41"/>
      <c r="AR238" s="41"/>
      <c r="AS238" s="41"/>
    </row>
    <row r="239" spans="1:45" ht="15" x14ac:dyDescent="0.25">
      <c r="A239" s="187" t="s">
        <v>81</v>
      </c>
      <c r="B239" s="188"/>
      <c r="C239" s="188"/>
      <c r="D239" s="188"/>
      <c r="E239" s="188"/>
      <c r="F239" s="189"/>
      <c r="G239" s="144">
        <f>SUMIF(L11:L235,"כן",G11:G235)/(SUMIF(L11:L235,"כן",G11:G235)+SUMIF(L11:L235,"לא",G11:G235))</f>
        <v>0.72128567708772395</v>
      </c>
      <c r="H239" s="20"/>
      <c r="I239" s="139" t="s">
        <v>82</v>
      </c>
      <c r="J239" s="140"/>
      <c r="K239" s="141"/>
      <c r="L239" s="185">
        <f>COUNTIF(L11:L235,"כן")/COUNT(C11:C235)</f>
        <v>0.80180180180180183</v>
      </c>
      <c r="M239" s="145"/>
      <c r="N239" s="145"/>
      <c r="O239" s="143"/>
    </row>
    <row r="241" spans="1:15" ht="15" x14ac:dyDescent="0.2">
      <c r="A241" s="205"/>
      <c r="B241" s="206"/>
      <c r="C241" s="206"/>
      <c r="D241" s="206"/>
      <c r="E241" s="206"/>
      <c r="F241" s="206"/>
      <c r="G241" s="206"/>
      <c r="H241" s="206"/>
      <c r="I241" s="206"/>
      <c r="J241" s="206"/>
      <c r="K241" s="206"/>
      <c r="L241" s="206"/>
      <c r="M241" s="206"/>
      <c r="N241" s="206"/>
      <c r="O241" s="206"/>
    </row>
    <row r="242" spans="1:15" ht="15.75" x14ac:dyDescent="0.2">
      <c r="A242" s="207" t="s">
        <v>83</v>
      </c>
      <c r="B242" s="207"/>
      <c r="C242" s="207"/>
      <c r="D242" s="207"/>
      <c r="E242" s="207"/>
      <c r="F242" s="207"/>
      <c r="G242" s="207"/>
      <c r="H242" s="207"/>
      <c r="I242" s="207"/>
      <c r="J242" s="207"/>
      <c r="K242" s="207"/>
      <c r="L242" s="207"/>
      <c r="M242" s="207"/>
      <c r="N242" s="207"/>
      <c r="O242" s="207"/>
    </row>
    <row r="243" spans="1:15" ht="15.75" x14ac:dyDescent="0.2">
      <c r="D243" s="146"/>
      <c r="E243" s="147"/>
      <c r="F243" s="147"/>
      <c r="G243" s="147"/>
      <c r="H243" s="147"/>
      <c r="I243" s="147"/>
      <c r="J243" s="147"/>
      <c r="K243" s="147"/>
      <c r="L243" s="147"/>
      <c r="M243" s="147"/>
      <c r="N243" s="147"/>
      <c r="O243" s="147"/>
    </row>
    <row r="244" spans="1:15" ht="15.75" x14ac:dyDescent="0.25">
      <c r="A244" s="208" t="s">
        <v>84</v>
      </c>
      <c r="B244" s="208"/>
      <c r="C244" s="209"/>
      <c r="D244" s="209"/>
      <c r="E244" s="209"/>
      <c r="F244" s="209"/>
      <c r="G244" s="209"/>
      <c r="H244" s="209"/>
      <c r="I244" s="209"/>
      <c r="J244" s="209"/>
      <c r="K244" s="209"/>
      <c r="L244" s="209"/>
      <c r="M244" s="209"/>
      <c r="N244" s="209"/>
      <c r="O244" s="209"/>
    </row>
    <row r="245" spans="1:15" ht="16.5" thickBot="1" x14ac:dyDescent="0.3">
      <c r="A245" s="210" t="s">
        <v>85</v>
      </c>
      <c r="B245" s="210"/>
      <c r="C245" s="209"/>
      <c r="D245" s="209"/>
      <c r="E245" s="209"/>
      <c r="F245" s="209"/>
      <c r="G245" s="209"/>
      <c r="H245" s="209"/>
      <c r="I245" s="209"/>
      <c r="J245" s="209"/>
      <c r="K245" s="209"/>
      <c r="L245" s="209"/>
      <c r="M245" s="209"/>
      <c r="N245" s="209"/>
      <c r="O245" s="209"/>
    </row>
    <row r="246" spans="1:15" ht="75.75" thickBot="1" x14ac:dyDescent="0.25">
      <c r="K246" s="29" t="s">
        <v>28</v>
      </c>
      <c r="L246" s="29" t="s">
        <v>29</v>
      </c>
      <c r="M246" s="29" t="s">
        <v>30</v>
      </c>
      <c r="N246" s="29" t="s">
        <v>31</v>
      </c>
    </row>
    <row r="247" spans="1:15" x14ac:dyDescent="0.2">
      <c r="G247" s="41"/>
      <c r="K247" s="41">
        <f>SUMIFS(K11:K236,$B$11:$B$236,2)</f>
        <v>317569460.56775814</v>
      </c>
      <c r="M247" s="41">
        <f>SUMIFS(M11:M236,$B$11:$B$236,2)</f>
        <v>315491393.05644166</v>
      </c>
      <c r="N247" s="41">
        <f>SUMIFS(N11:N236,$B$11:$B$236,2)</f>
        <v>262359514.26894799</v>
      </c>
    </row>
  </sheetData>
  <autoFilter ref="A10:P236" xr:uid="{BA3066DB-EADC-4DFB-ADF6-A7485AC694C7}"/>
  <mergeCells count="18">
    <mergeCell ref="A239:F239"/>
    <mergeCell ref="A241:O241"/>
    <mergeCell ref="A242:O242"/>
    <mergeCell ref="A244:O244"/>
    <mergeCell ref="A245:O245"/>
    <mergeCell ref="A238:F238"/>
    <mergeCell ref="A1:O1"/>
    <mergeCell ref="G2:K2"/>
    <mergeCell ref="Z3:Z7"/>
    <mergeCell ref="B4:C4"/>
    <mergeCell ref="I4:N4"/>
    <mergeCell ref="B5:C5"/>
    <mergeCell ref="B6:C6"/>
    <mergeCell ref="A9:C9"/>
    <mergeCell ref="I51:K51"/>
    <mergeCell ref="I93:K93"/>
    <mergeCell ref="I134:K134"/>
    <mergeCell ref="I236:K236"/>
  </mergeCells>
  <conditionalFormatting sqref="O1:O134 O136:O1048576">
    <cfRule type="containsText" dxfId="3" priority="1" operator="containsText" text="גדול">
      <formula>NOT(ISERROR(SEARCH("גדול",O1)))</formula>
    </cfRule>
    <cfRule type="containsText" dxfId="2" priority="2" operator="containsText" text="קטן מהמינימום הנדרש במכרז">
      <formula>NOT(ISERROR(SEARCH("קטן מהמינימום הנדרש במכרז",O1)))</formula>
    </cfRule>
  </conditionalFormatting>
  <pageMargins left="0.25" right="0.25" top="0.75" bottom="0.75" header="0.3" footer="0.3"/>
  <pageSetup paperSize="8" scale="1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D616-57D6-4CD3-8341-C9700230DE57}">
  <dimension ref="B4:L28"/>
  <sheetViews>
    <sheetView rightToLeft="1" workbookViewId="0">
      <selection activeCell="A20" sqref="A20"/>
    </sheetView>
  </sheetViews>
  <sheetFormatPr defaultColWidth="9" defaultRowHeight="14.25" x14ac:dyDescent="0.2"/>
  <cols>
    <col min="1" max="2" width="9" style="148"/>
    <col min="3" max="3" width="14.5703125" style="148" customWidth="1"/>
    <col min="4" max="4" width="9.140625" style="148" hidden="1" customWidth="1"/>
    <col min="5" max="5" width="13.5703125" style="148" customWidth="1"/>
    <col min="6" max="6" width="15.140625" style="148" customWidth="1"/>
    <col min="7" max="7" width="12" style="148" customWidth="1"/>
    <col min="8" max="8" width="19.7109375" style="148" bestFit="1" customWidth="1"/>
    <col min="9" max="9" width="13.42578125" style="148" customWidth="1"/>
    <col min="10" max="10" width="17.42578125" style="148" customWidth="1"/>
    <col min="11" max="11" width="13.42578125" style="148" customWidth="1"/>
    <col min="12" max="12" width="27" style="148" customWidth="1"/>
    <col min="13" max="16384" width="9" style="148"/>
  </cols>
  <sheetData>
    <row r="4" spans="2:12" ht="18.75" x14ac:dyDescent="0.3">
      <c r="H4" s="211" t="s">
        <v>86</v>
      </c>
      <c r="I4" s="211"/>
    </row>
    <row r="7" spans="2:12" ht="15" thickBot="1" x14ac:dyDescent="0.25"/>
    <row r="8" spans="2:12" ht="30" x14ac:dyDescent="0.2">
      <c r="B8" s="149" t="s">
        <v>87</v>
      </c>
      <c r="C8" s="150" t="s">
        <v>88</v>
      </c>
      <c r="D8" s="150"/>
      <c r="E8" s="151" t="s">
        <v>89</v>
      </c>
      <c r="F8" s="151" t="s">
        <v>90</v>
      </c>
      <c r="G8" s="151" t="s">
        <v>91</v>
      </c>
      <c r="H8" s="152" t="s">
        <v>92</v>
      </c>
      <c r="I8" s="153" t="s">
        <v>93</v>
      </c>
      <c r="J8" s="150" t="s">
        <v>94</v>
      </c>
      <c r="K8" s="150" t="s">
        <v>95</v>
      </c>
      <c r="L8" s="153" t="s">
        <v>32</v>
      </c>
    </row>
    <row r="9" spans="2:12" x14ac:dyDescent="0.2">
      <c r="B9" s="154">
        <v>1</v>
      </c>
      <c r="C9" s="155">
        <f>G9/$I$20</f>
        <v>0.63068181818181812</v>
      </c>
      <c r="D9" s="156" t="e">
        <f>H9/J20</f>
        <v>#DIV/0!</v>
      </c>
      <c r="E9" s="157">
        <f>$I$20*0.75</f>
        <v>0.14864864864864866</v>
      </c>
      <c r="F9" s="158">
        <f>$I$20*1.25</f>
        <v>0.24774774774774774</v>
      </c>
      <c r="G9" s="158">
        <f t="shared" ref="G9" si="0">J9/K9</f>
        <v>0.125</v>
      </c>
      <c r="H9" s="159">
        <f t="shared" ref="H9:H12" si="1">I9/K9</f>
        <v>0.875</v>
      </c>
      <c r="I9" s="160">
        <v>35</v>
      </c>
      <c r="J9" s="161">
        <v>5</v>
      </c>
      <c r="K9" s="162">
        <f t="shared" ref="K9:K12" si="2">I9+J9</f>
        <v>40</v>
      </c>
      <c r="L9" s="163" t="str">
        <f>IF(G9/$I$20&gt;1.25,"יחס דירות גדול מהמותר במכרז",IF(G9/$I$20&lt;0.75,"יחס דירות קטן מהמותר במכרז","יחס דירות תקין"))</f>
        <v>יחס דירות קטן מהמותר במכרז</v>
      </c>
    </row>
    <row r="10" spans="2:12" x14ac:dyDescent="0.2">
      <c r="B10" s="154">
        <v>2</v>
      </c>
      <c r="C10" s="155">
        <f>G10/$I$20</f>
        <v>0.73835920177383585</v>
      </c>
      <c r="D10" s="164"/>
      <c r="E10" s="157">
        <f>$I$20*0.75</f>
        <v>0.14864864864864866</v>
      </c>
      <c r="F10" s="158">
        <f>$I$20*1.25</f>
        <v>0.24774774774774774</v>
      </c>
      <c r="G10" s="165">
        <f>J10/K10</f>
        <v>0.14634146341463414</v>
      </c>
      <c r="H10" s="159">
        <f t="shared" si="1"/>
        <v>0.85365853658536583</v>
      </c>
      <c r="I10" s="160">
        <v>35</v>
      </c>
      <c r="J10" s="161">
        <v>6</v>
      </c>
      <c r="K10" s="162">
        <f t="shared" si="2"/>
        <v>41</v>
      </c>
      <c r="L10" s="163" t="str">
        <f>IF(G10/$I$20&gt;1.25,"יחס דירות גדול מהמותר במכרז",IF(G10/$I$20&lt;0.75,"יחס דירות קטן מהמותר במכרז","יחס דירות תקין"))</f>
        <v>יחס דירות קטן מהמותר במכרז</v>
      </c>
    </row>
    <row r="11" spans="2:12" ht="15" customHeight="1" x14ac:dyDescent="0.2">
      <c r="B11" s="154">
        <v>3</v>
      </c>
      <c r="C11" s="155">
        <f>G11/$I$20</f>
        <v>1.1352272727272728</v>
      </c>
      <c r="D11" s="164"/>
      <c r="E11" s="157">
        <f>$I$20*0.75</f>
        <v>0.14864864864864866</v>
      </c>
      <c r="F11" s="158">
        <f>$I$20*1.25</f>
        <v>0.24774774774774774</v>
      </c>
      <c r="G11" s="158">
        <f>J11/K11</f>
        <v>0.22500000000000001</v>
      </c>
      <c r="H11" s="159">
        <f t="shared" si="1"/>
        <v>0.77500000000000002</v>
      </c>
      <c r="I11" s="160">
        <v>31</v>
      </c>
      <c r="J11" s="161">
        <v>9</v>
      </c>
      <c r="K11" s="162">
        <f t="shared" si="2"/>
        <v>40</v>
      </c>
      <c r="L11" s="163" t="str">
        <f>IF(G11/$I$20&gt;1.25,"יחס דירות גדול מהמותר במכרז",IF(G11/$I$20&lt;0.75,"יחס דירות קטן מהמותר במכרז","יחס דירות תקין"))</f>
        <v>יחס דירות תקין</v>
      </c>
    </row>
    <row r="12" spans="2:12" x14ac:dyDescent="0.2">
      <c r="B12" s="154">
        <v>4</v>
      </c>
      <c r="C12" s="155">
        <f>G12/$I$20</f>
        <v>1.1989198919891988</v>
      </c>
      <c r="D12" s="164"/>
      <c r="E12" s="157">
        <f>$I$20*0.75</f>
        <v>0.14864864864864866</v>
      </c>
      <c r="F12" s="158">
        <f>$I$20*1.25</f>
        <v>0.24774774774774774</v>
      </c>
      <c r="G12" s="158">
        <f>J12/K12</f>
        <v>0.23762376237623761</v>
      </c>
      <c r="H12" s="159">
        <f t="shared" si="1"/>
        <v>0.76237623762376239</v>
      </c>
      <c r="I12" s="160">
        <v>77</v>
      </c>
      <c r="J12" s="161">
        <v>24</v>
      </c>
      <c r="K12" s="162">
        <f t="shared" si="2"/>
        <v>101</v>
      </c>
      <c r="L12" s="163" t="str">
        <f>IF(G12/$I$20&gt;1.25,"יחס דירות גדול מהמותר במכרז",IF(G12/$I$20&lt;0.75,"יחס דירות קטן מהמותר במכרז","יחס דירות תקין"))</f>
        <v>יחס דירות תקין</v>
      </c>
    </row>
    <row r="13" spans="2:12" ht="19.5" thickBot="1" x14ac:dyDescent="0.25">
      <c r="B13" s="164"/>
      <c r="C13" s="164"/>
      <c r="D13" s="164"/>
      <c r="E13" s="164"/>
      <c r="F13" s="164"/>
      <c r="G13" s="164"/>
      <c r="H13" s="166" t="s">
        <v>2</v>
      </c>
      <c r="I13" s="167">
        <f>SUM(I9:I12)</f>
        <v>178</v>
      </c>
      <c r="J13" s="168">
        <f>SUM(J9:J12)</f>
        <v>44</v>
      </c>
      <c r="K13" s="168">
        <f>SUM(K9:K12)</f>
        <v>222</v>
      </c>
      <c r="L13" s="164"/>
    </row>
    <row r="17" spans="3:12" x14ac:dyDescent="0.2">
      <c r="C17" s="169"/>
      <c r="D17" s="169"/>
      <c r="E17" s="169"/>
      <c r="F17" s="169"/>
    </row>
    <row r="18" spans="3:12" x14ac:dyDescent="0.2">
      <c r="C18" s="169"/>
      <c r="D18" s="169"/>
      <c r="E18" s="169"/>
      <c r="F18" s="169"/>
    </row>
    <row r="19" spans="3:12" ht="15" thickBot="1" x14ac:dyDescent="0.25">
      <c r="C19" s="169"/>
      <c r="D19" s="169"/>
      <c r="E19" s="169"/>
      <c r="F19" s="169"/>
    </row>
    <row r="20" spans="3:12" ht="15.75" thickBot="1" x14ac:dyDescent="0.3">
      <c r="C20" s="169"/>
      <c r="D20" s="169"/>
      <c r="E20" s="169"/>
      <c r="F20" s="169"/>
      <c r="H20" s="170" t="s">
        <v>96</v>
      </c>
      <c r="I20" s="171">
        <f>J13/K13</f>
        <v>0.1981981981981982</v>
      </c>
    </row>
    <row r="22" spans="3:12" x14ac:dyDescent="0.2">
      <c r="K22" s="169"/>
      <c r="L22" s="169"/>
    </row>
    <row r="23" spans="3:12" x14ac:dyDescent="0.2">
      <c r="J23" s="169"/>
      <c r="K23" s="169"/>
      <c r="L23" s="169"/>
    </row>
    <row r="24" spans="3:12" x14ac:dyDescent="0.2">
      <c r="J24" s="169"/>
      <c r="K24" s="169"/>
      <c r="L24" s="169"/>
    </row>
    <row r="25" spans="3:12" x14ac:dyDescent="0.2">
      <c r="J25" s="169"/>
      <c r="K25" s="169"/>
      <c r="L25" s="169"/>
    </row>
    <row r="26" spans="3:12" ht="15" x14ac:dyDescent="0.25">
      <c r="E26" s="172"/>
      <c r="I26" s="169"/>
      <c r="J26" s="169"/>
      <c r="K26" s="169"/>
      <c r="L26" s="169"/>
    </row>
    <row r="27" spans="3:12" x14ac:dyDescent="0.2">
      <c r="K27" s="169"/>
      <c r="L27" s="169"/>
    </row>
    <row r="28" spans="3:12" x14ac:dyDescent="0.2">
      <c r="K28" s="169"/>
      <c r="L28" s="169"/>
    </row>
  </sheetData>
  <mergeCells count="1">
    <mergeCell ref="H4:I4"/>
  </mergeCells>
  <conditionalFormatting sqref="C9:C12">
    <cfRule type="cellIs" dxfId="1" priority="1" operator="lessThan">
      <formula>0.75</formula>
    </cfRule>
    <cfRule type="cellIs" dxfId="0" priority="2" operator="greaterThan">
      <formula>1.25</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CF640-D221-4877-A325-AD4CD95F070C}">
  <dimension ref="D2:F24"/>
  <sheetViews>
    <sheetView rightToLeft="1" topLeftCell="A5" zoomScale="85" zoomScaleNormal="85" workbookViewId="0">
      <selection activeCell="E48" sqref="E48"/>
    </sheetView>
  </sheetViews>
  <sheetFormatPr defaultColWidth="9" defaultRowHeight="14.25" x14ac:dyDescent="0.2"/>
  <cols>
    <col min="1" max="3" width="9" style="173"/>
    <col min="4" max="4" width="22.140625" style="173" customWidth="1"/>
    <col min="5" max="5" width="40.7109375" style="173" customWidth="1"/>
    <col min="6" max="6" width="94" style="173" customWidth="1"/>
    <col min="7" max="16384" width="9" style="173"/>
  </cols>
  <sheetData>
    <row r="2" spans="4:6" ht="24" x14ac:dyDescent="0.4">
      <c r="D2" s="212" t="s">
        <v>99</v>
      </c>
      <c r="E2" s="212"/>
      <c r="F2" s="212"/>
    </row>
    <row r="4" spans="4:6" ht="21" x14ac:dyDescent="0.35">
      <c r="D4" s="174" t="s">
        <v>100</v>
      </c>
      <c r="E4" s="174" t="s">
        <v>101</v>
      </c>
      <c r="F4" s="174" t="s">
        <v>102</v>
      </c>
    </row>
    <row r="5" spans="4:6" ht="129.75" customHeight="1" x14ac:dyDescent="0.2">
      <c r="D5" s="175" t="s">
        <v>103</v>
      </c>
      <c r="E5" s="176" t="s">
        <v>104</v>
      </c>
      <c r="F5" s="177" t="s">
        <v>105</v>
      </c>
    </row>
    <row r="6" spans="4:6" ht="141.75" x14ac:dyDescent="0.2">
      <c r="D6" s="175" t="s">
        <v>106</v>
      </c>
      <c r="E6" s="176" t="s">
        <v>29</v>
      </c>
      <c r="F6" s="177" t="s">
        <v>107</v>
      </c>
    </row>
    <row r="7" spans="4:6" ht="152.25" customHeight="1" x14ac:dyDescent="0.2">
      <c r="D7" s="178" t="s">
        <v>108</v>
      </c>
      <c r="E7" s="179" t="s">
        <v>30</v>
      </c>
      <c r="F7" s="180" t="s">
        <v>109</v>
      </c>
    </row>
    <row r="8" spans="4:6" ht="176.25" customHeight="1" x14ac:dyDescent="0.2">
      <c r="D8" s="175" t="s">
        <v>110</v>
      </c>
      <c r="E8" s="181" t="s">
        <v>111</v>
      </c>
      <c r="F8" s="182" t="s">
        <v>112</v>
      </c>
    </row>
    <row r="20" spans="4:6" x14ac:dyDescent="0.2">
      <c r="D20" s="183"/>
      <c r="E20" s="183"/>
      <c r="F20" s="183"/>
    </row>
    <row r="21" spans="4:6" x14ac:dyDescent="0.2">
      <c r="D21" s="183"/>
      <c r="E21" s="183"/>
      <c r="F21" s="183"/>
    </row>
    <row r="22" spans="4:6" x14ac:dyDescent="0.2">
      <c r="D22" s="183"/>
      <c r="E22" s="183"/>
      <c r="F22" s="183"/>
    </row>
    <row r="23" spans="4:6" x14ac:dyDescent="0.2">
      <c r="D23" s="183"/>
      <c r="E23" s="183"/>
      <c r="F23" s="183"/>
    </row>
    <row r="24" spans="4:6" x14ac:dyDescent="0.2">
      <c r="D24" s="183"/>
      <c r="E24" s="183"/>
      <c r="F24" s="183"/>
    </row>
  </sheetData>
  <mergeCells count="1">
    <mergeCell ref="D2: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4</vt:i4>
      </vt:variant>
    </vt:vector>
  </HeadingPairs>
  <TitlesOfParts>
    <vt:vector size="7" baseType="lpstr">
      <vt:lpstr>ג4 מחיר מטרה</vt:lpstr>
      <vt:lpstr>יחס יח"ד בבניניים</vt:lpstr>
      <vt:lpstr>הנחיות למילוי נספח ג4</vt:lpstr>
      <vt:lpstr>'הנחיות למילוי נספח ג4'!_Hlk87367373</vt:lpstr>
      <vt:lpstr>'הנחיות למילוי נספח ג4'!_Hlk88045932</vt:lpstr>
      <vt:lpstr>'הנחיות למילוי נספח ג4'!_Hlk88045951</vt:lpstr>
      <vt:lpstr>'ג4 מחיר מטרה'!WPrint_Area_W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Barak Mizrahi</dc:creator>
  <cp:lastModifiedBy>Barak Mizrahi</cp:lastModifiedBy>
  <cp:lastPrinted>2026-04-29T11:10:54Z</cp:lastPrinted>
  <dcterms:created xsi:type="dcterms:W3CDTF">2026-01-25T08:39:29Z</dcterms:created>
  <dcterms:modified xsi:type="dcterms:W3CDTF">2026-04-30T08:09:21Z</dcterms:modified>
</cp:coreProperties>
</file>